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8955" windowHeight="7935"/>
  </bookViews>
  <sheets>
    <sheet name="FinrexLiveTicker1" sheetId="1" r:id="rId1"/>
  </sheets>
  <calcPr calcId="124519"/>
</workbook>
</file>

<file path=xl/calcChain.xml><?xml version="1.0" encoding="utf-8"?>
<calcChain xmlns="http://schemas.openxmlformats.org/spreadsheetml/2006/main">
  <c r="A917" i="1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1"/>
  <c r="A853"/>
  <c r="A845"/>
  <c r="A866"/>
  <c r="A858"/>
  <c r="A850"/>
  <c r="A764"/>
  <c r="A782"/>
  <c r="A714"/>
  <c r="A648"/>
  <c r="A616"/>
  <c r="A549"/>
  <c r="A482"/>
  <c r="A413"/>
  <c r="A381"/>
  <c r="A317"/>
  <c r="A244"/>
  <c r="A197"/>
  <c r="A172"/>
  <c r="A104"/>
  <c r="A799"/>
  <c r="A735"/>
  <c r="A701"/>
  <c r="A633"/>
  <c r="A566"/>
  <c r="A533"/>
  <c r="A467"/>
  <c r="A400"/>
  <c r="A334"/>
  <c r="A301"/>
  <c r="A227"/>
  <c r="A187"/>
  <c r="A165"/>
  <c r="A99"/>
  <c r="A693"/>
  <c r="A719"/>
  <c r="A688"/>
  <c r="A147"/>
  <c r="A145"/>
  <c r="A530"/>
  <c r="A48"/>
  <c r="A661"/>
  <c r="A156"/>
  <c r="A54"/>
  <c r="A204"/>
  <c r="A64"/>
  <c r="A704"/>
  <c r="A821"/>
  <c r="A79"/>
  <c r="A286"/>
  <c r="A348"/>
  <c r="A429"/>
  <c r="A246"/>
  <c r="A826"/>
  <c r="A785"/>
  <c r="A445"/>
  <c r="A510"/>
  <c r="A81"/>
  <c r="A825"/>
  <c r="A428"/>
  <c r="A532"/>
  <c r="A812"/>
  <c r="A759"/>
  <c r="A406"/>
  <c r="A358"/>
  <c r="A258"/>
  <c r="A430"/>
  <c r="A507"/>
  <c r="A511"/>
  <c r="A676"/>
  <c r="A238"/>
  <c r="A718"/>
  <c r="A620"/>
  <c r="A486"/>
  <c r="A385"/>
  <c r="A252"/>
  <c r="A174"/>
  <c r="A803"/>
  <c r="A705"/>
  <c r="A570"/>
  <c r="A471"/>
  <c r="A338"/>
  <c r="A231"/>
  <c r="A167"/>
  <c r="A689"/>
  <c r="A739"/>
  <c r="A15"/>
  <c r="A365"/>
  <c r="A146"/>
  <c r="A77"/>
  <c r="A691"/>
  <c r="A596"/>
  <c r="A285"/>
  <c r="A452"/>
  <c r="A50"/>
  <c r="A361"/>
  <c r="A493"/>
  <c r="A8"/>
  <c r="A603"/>
  <c r="A433"/>
  <c r="A800"/>
  <c r="A367"/>
  <c r="A277"/>
  <c r="A26"/>
  <c r="A522"/>
  <c r="A199"/>
  <c r="A626"/>
  <c r="A87"/>
  <c r="A200"/>
  <c r="A652"/>
  <c r="A184"/>
  <c r="A788"/>
  <c r="A80"/>
  <c r="A270"/>
  <c r="A420"/>
  <c r="A711"/>
  <c r="A4"/>
  <c r="A584"/>
  <c r="A508"/>
  <c r="A660"/>
  <c r="A560"/>
  <c r="A593"/>
  <c r="A733"/>
  <c r="A237"/>
  <c r="A781"/>
  <c r="A572"/>
  <c r="A679"/>
  <c r="A419"/>
  <c r="A269"/>
  <c r="A331"/>
  <c r="A586"/>
  <c r="A504"/>
  <c r="A239"/>
  <c r="A341"/>
  <c r="A539"/>
  <c r="A792"/>
  <c r="A296"/>
  <c r="A531"/>
  <c r="A140"/>
  <c r="A518"/>
  <c r="A357"/>
  <c r="A579"/>
  <c r="A250"/>
  <c r="A810"/>
  <c r="A710"/>
  <c r="A609"/>
  <c r="A478"/>
  <c r="A376"/>
  <c r="A236"/>
  <c r="A170"/>
  <c r="A795"/>
  <c r="A697"/>
  <c r="A562"/>
  <c r="A463"/>
  <c r="A330"/>
  <c r="A223"/>
  <c r="A163"/>
  <c r="A685"/>
  <c r="A747"/>
  <c r="A753"/>
  <c r="A49"/>
  <c r="A91"/>
  <c r="A94"/>
  <c r="A744"/>
  <c r="A86"/>
  <c r="A374"/>
  <c r="A76"/>
  <c r="A119"/>
  <c r="A827"/>
  <c r="A135"/>
  <c r="A339"/>
  <c r="A73"/>
  <c r="A651"/>
  <c r="A363"/>
  <c r="A33"/>
  <c r="A671"/>
  <c r="A185"/>
  <c r="A496"/>
  <c r="A229"/>
  <c r="A659"/>
  <c r="A534"/>
  <c r="A70"/>
  <c r="A653"/>
  <c r="A127"/>
  <c r="A10"/>
  <c r="A809"/>
  <c r="A498"/>
  <c r="A272"/>
  <c r="A137"/>
  <c r="A303"/>
  <c r="A315"/>
  <c r="A583"/>
  <c r="A657"/>
  <c r="A824"/>
  <c r="A559"/>
  <c r="A594"/>
  <c r="A407"/>
  <c r="A335"/>
  <c r="A571"/>
  <c r="A278"/>
  <c r="A453"/>
  <c r="A3"/>
  <c r="A266"/>
  <c r="A731"/>
  <c r="A211"/>
  <c r="A387"/>
  <c r="A255"/>
  <c r="A528"/>
  <c r="A833"/>
  <c r="A39"/>
  <c r="A12"/>
  <c r="A143"/>
  <c r="A754"/>
  <c r="A85"/>
  <c r="A590"/>
  <c r="A777"/>
  <c r="A863"/>
  <c r="A855"/>
  <c r="A847"/>
  <c r="A868"/>
  <c r="A860"/>
  <c r="A852"/>
  <c r="A683"/>
  <c r="A790"/>
  <c r="A722"/>
  <c r="A686"/>
  <c r="A624"/>
  <c r="A557"/>
  <c r="A490"/>
  <c r="A458"/>
  <c r="A389"/>
  <c r="A325"/>
  <c r="A260"/>
  <c r="A216"/>
  <c r="A176"/>
  <c r="A111"/>
  <c r="A807"/>
  <c r="A774"/>
  <c r="A709"/>
  <c r="A641"/>
  <c r="A605"/>
  <c r="A542"/>
  <c r="A475"/>
  <c r="A408"/>
  <c r="A372"/>
  <c r="A310"/>
  <c r="A235"/>
  <c r="A192"/>
  <c r="A169"/>
  <c r="A103"/>
  <c r="A1"/>
  <c r="A157"/>
  <c r="A687"/>
  <c r="A161"/>
  <c r="A17"/>
  <c r="A34"/>
  <c r="A298"/>
  <c r="A292"/>
  <c r="A118"/>
  <c r="A153"/>
  <c r="A202"/>
  <c r="A58"/>
  <c r="A320"/>
  <c r="A677"/>
  <c r="A758"/>
  <c r="A524"/>
  <c r="A139"/>
  <c r="A568"/>
  <c r="A247"/>
  <c r="A488"/>
  <c r="A208"/>
  <c r="A352"/>
  <c r="A512"/>
  <c r="A44"/>
  <c r="A431"/>
  <c r="A784"/>
  <c r="A18"/>
  <c r="A743"/>
  <c r="A823"/>
  <c r="A516"/>
  <c r="A402"/>
  <c r="A836"/>
  <c r="A45"/>
  <c r="A591"/>
  <c r="A349"/>
  <c r="A233"/>
  <c r="A128"/>
  <c r="A762"/>
  <c r="A636"/>
  <c r="A537"/>
  <c r="A401"/>
  <c r="A305"/>
  <c r="A191"/>
  <c r="A28"/>
  <c r="A721"/>
  <c r="A621"/>
  <c r="A487"/>
  <c r="A388"/>
  <c r="A256"/>
  <c r="A177"/>
  <c r="A27"/>
  <c r="A737"/>
  <c r="A750"/>
  <c r="A612"/>
  <c r="A622"/>
  <c r="A418"/>
  <c r="A62"/>
  <c r="A752"/>
  <c r="A411"/>
  <c r="A75"/>
  <c r="A840"/>
  <c r="A47"/>
  <c r="A439"/>
  <c r="A5"/>
  <c r="A789"/>
  <c r="A501"/>
  <c r="A340"/>
  <c r="A582"/>
  <c r="A696"/>
  <c r="A37"/>
  <c r="A455"/>
  <c r="A42"/>
  <c r="A664"/>
  <c r="A180"/>
  <c r="A19"/>
  <c r="A89"/>
  <c r="A60"/>
  <c r="A577"/>
  <c r="A323"/>
  <c r="A646"/>
  <c r="A53"/>
  <c r="A829"/>
  <c r="A763"/>
  <c r="A732"/>
  <c r="A261"/>
  <c r="A589"/>
  <c r="A814"/>
  <c r="A390"/>
  <c r="A280"/>
  <c r="A509"/>
  <c r="A262"/>
  <c r="A755"/>
  <c r="A772"/>
  <c r="A386"/>
  <c r="A634"/>
  <c r="A476"/>
  <c r="A138"/>
  <c r="A436"/>
  <c r="A359"/>
  <c r="A449"/>
  <c r="A819"/>
  <c r="A253"/>
  <c r="A410"/>
  <c r="A513"/>
  <c r="A281"/>
  <c r="A422"/>
  <c r="A805"/>
  <c r="A734"/>
  <c r="A837"/>
  <c r="A327"/>
  <c r="A726"/>
  <c r="A628"/>
  <c r="A521"/>
  <c r="A393"/>
  <c r="A290"/>
  <c r="A178"/>
  <c r="A811"/>
  <c r="A713"/>
  <c r="A613"/>
  <c r="A479"/>
  <c r="A380"/>
  <c r="A240"/>
  <c r="A173"/>
  <c r="A24"/>
  <c r="A738"/>
  <c r="A16"/>
  <c r="A302"/>
  <c r="A727"/>
  <c r="A63"/>
  <c r="A61"/>
  <c r="A602"/>
  <c r="A124"/>
  <c r="A123"/>
  <c r="A547"/>
  <c r="A122"/>
  <c r="A658"/>
  <c r="A500"/>
  <c r="A263"/>
  <c r="A131"/>
  <c r="A543"/>
  <c r="A468"/>
  <c r="A403"/>
  <c r="A30"/>
  <c r="A526"/>
  <c r="A55"/>
  <c r="A668"/>
  <c r="A205"/>
  <c r="A110"/>
  <c r="A31"/>
  <c r="A57"/>
  <c r="A820"/>
  <c r="A597"/>
  <c r="A360"/>
  <c r="A666"/>
  <c r="A251"/>
  <c r="A480"/>
  <c r="A210"/>
  <c r="A249"/>
  <c r="A308"/>
  <c r="A416"/>
  <c r="A775"/>
  <c r="A638"/>
  <c r="A332"/>
  <c r="A117"/>
  <c r="A843"/>
  <c r="A225"/>
  <c r="A11"/>
  <c r="A395"/>
  <c r="A680"/>
  <c r="A209"/>
  <c r="A9"/>
  <c r="A473"/>
  <c r="A835"/>
  <c r="A74"/>
  <c r="A448"/>
  <c r="A417"/>
  <c r="A489"/>
  <c r="A793"/>
  <c r="A370"/>
  <c r="A319"/>
  <c r="A614"/>
  <c r="A838"/>
  <c r="A245"/>
  <c r="A859"/>
  <c r="A684"/>
  <c r="A856"/>
  <c r="A806"/>
  <c r="A706"/>
  <c r="A601"/>
  <c r="A474"/>
  <c r="A368"/>
  <c r="A232"/>
  <c r="A168"/>
  <c r="A791"/>
  <c r="A690"/>
  <c r="A558"/>
  <c r="A459"/>
  <c r="A326"/>
  <c r="A219"/>
  <c r="A116"/>
  <c r="A46"/>
  <c r="A749"/>
  <c r="A189"/>
  <c r="A198"/>
  <c r="A95"/>
  <c r="A154"/>
  <c r="A611"/>
  <c r="A125"/>
  <c r="A423"/>
  <c r="A221"/>
  <c r="A346"/>
  <c r="A484"/>
  <c r="A573"/>
  <c r="A741"/>
  <c r="A815"/>
  <c r="A437"/>
  <c r="A40"/>
  <c r="A499"/>
  <c r="A802"/>
  <c r="A569"/>
  <c r="A337"/>
  <c r="A166"/>
  <c r="A865"/>
  <c r="A857"/>
  <c r="A849"/>
  <c r="A523"/>
  <c r="A862"/>
  <c r="A854"/>
  <c r="A846"/>
  <c r="A798"/>
  <c r="A730"/>
  <c r="A698"/>
  <c r="A632"/>
  <c r="A565"/>
  <c r="A529"/>
  <c r="A466"/>
  <c r="A397"/>
  <c r="A333"/>
  <c r="A297"/>
  <c r="A224"/>
  <c r="A183"/>
  <c r="A164"/>
  <c r="A23"/>
  <c r="A783"/>
  <c r="A717"/>
  <c r="A649"/>
  <c r="A617"/>
  <c r="A550"/>
  <c r="A483"/>
  <c r="A446"/>
  <c r="A384"/>
  <c r="A318"/>
  <c r="A248"/>
  <c r="A196"/>
  <c r="A175"/>
  <c r="A112"/>
  <c r="A25"/>
  <c r="A148"/>
  <c r="A134"/>
  <c r="A748"/>
  <c r="A751"/>
  <c r="A35"/>
  <c r="A369"/>
  <c r="A230"/>
  <c r="A728"/>
  <c r="A160"/>
  <c r="A72"/>
  <c r="A443"/>
  <c r="A158"/>
  <c r="A132"/>
  <c r="A760"/>
  <c r="A267"/>
  <c r="A834"/>
  <c r="A746"/>
  <c r="A540"/>
  <c r="A675"/>
  <c r="A391"/>
  <c r="A415"/>
  <c r="A414"/>
  <c r="A517"/>
  <c r="A434"/>
  <c r="A804"/>
  <c r="A353"/>
  <c r="A712"/>
  <c r="A6"/>
  <c r="A707"/>
  <c r="A440"/>
  <c r="A378"/>
  <c r="A241"/>
  <c r="A276"/>
  <c r="A295"/>
  <c r="A716"/>
  <c r="A379"/>
  <c r="A786"/>
  <c r="A654"/>
  <c r="A553"/>
  <c r="A450"/>
  <c r="A321"/>
  <c r="A212"/>
  <c r="A106"/>
  <c r="A766"/>
  <c r="A637"/>
  <c r="A538"/>
  <c r="A404"/>
  <c r="A306"/>
  <c r="A190"/>
  <c r="A101"/>
  <c r="A149"/>
  <c r="A141"/>
  <c r="A600"/>
  <c r="A627"/>
  <c r="A201"/>
  <c r="A82"/>
  <c r="A576"/>
  <c r="A643"/>
  <c r="A535"/>
  <c r="A366"/>
  <c r="A274"/>
  <c r="A472"/>
  <c r="A350"/>
  <c r="A842"/>
  <c r="A818"/>
  <c r="A469"/>
  <c r="A398"/>
  <c r="A665"/>
  <c r="A115"/>
  <c r="A22"/>
  <c r="A373"/>
  <c r="A618"/>
  <c r="A96"/>
  <c r="A59"/>
  <c r="A92"/>
  <c r="A43"/>
  <c r="A813"/>
  <c r="A328"/>
  <c r="A515"/>
  <c r="A639"/>
  <c r="A399"/>
  <c r="A592"/>
  <c r="A456"/>
  <c r="A461"/>
  <c r="A287"/>
  <c r="A715"/>
  <c r="A673"/>
  <c r="A796"/>
  <c r="A129"/>
  <c r="A242"/>
  <c r="A699"/>
  <c r="A830"/>
  <c r="A342"/>
  <c r="A631"/>
  <c r="A435"/>
  <c r="A580"/>
  <c r="A457"/>
  <c r="A808"/>
  <c r="A279"/>
  <c r="A519"/>
  <c r="A477"/>
  <c r="A188"/>
  <c r="A304"/>
  <c r="A495"/>
  <c r="A7"/>
  <c r="A51"/>
  <c r="A268"/>
  <c r="A364"/>
  <c r="A460"/>
  <c r="A778"/>
  <c r="A644"/>
  <c r="A545"/>
  <c r="A409"/>
  <c r="A313"/>
  <c r="A195"/>
  <c r="A102"/>
  <c r="A729"/>
  <c r="A629"/>
  <c r="A525"/>
  <c r="A396"/>
  <c r="A293"/>
  <c r="A182"/>
  <c r="A97"/>
  <c r="A720"/>
  <c r="A150"/>
  <c r="A451"/>
  <c r="A663"/>
  <c r="A65"/>
  <c r="A20"/>
  <c r="A264"/>
  <c r="A765"/>
  <c r="A767"/>
  <c r="A564"/>
  <c r="A555"/>
  <c r="A839"/>
  <c r="A695"/>
  <c r="A768"/>
  <c r="A345"/>
  <c r="A776"/>
  <c r="A494"/>
  <c r="A371"/>
  <c r="A100"/>
  <c r="A608"/>
  <c r="A294"/>
  <c r="A623"/>
  <c r="A144"/>
  <c r="A67"/>
  <c r="A203"/>
  <c r="A71"/>
  <c r="A598"/>
  <c r="A316"/>
  <c r="A442"/>
  <c r="A133"/>
  <c r="A780"/>
  <c r="A831"/>
  <c r="A662"/>
  <c r="A464"/>
  <c r="A427"/>
  <c r="A669"/>
  <c r="A585"/>
  <c r="A344"/>
  <c r="A13"/>
  <c r="A801"/>
  <c r="A723"/>
  <c r="A83"/>
  <c r="A502"/>
  <c r="A213"/>
  <c r="A382"/>
  <c r="A771"/>
  <c r="A670"/>
  <c r="A581"/>
  <c r="A506"/>
  <c r="A595"/>
  <c r="A207"/>
  <c r="A647"/>
  <c r="A607"/>
  <c r="A362"/>
  <c r="A257"/>
  <c r="A78"/>
  <c r="A563"/>
  <c r="A441"/>
  <c r="A432"/>
  <c r="A867"/>
  <c r="A864"/>
  <c r="A848"/>
  <c r="A770"/>
  <c r="A640"/>
  <c r="A541"/>
  <c r="A405"/>
  <c r="A309"/>
  <c r="A193"/>
  <c r="A98"/>
  <c r="A725"/>
  <c r="A625"/>
  <c r="A491"/>
  <c r="A392"/>
  <c r="A265"/>
  <c r="A179"/>
  <c r="A29"/>
  <c r="A736"/>
  <c r="A159"/>
  <c r="A447"/>
  <c r="A619"/>
  <c r="A68"/>
  <c r="A69"/>
  <c r="A14"/>
  <c r="A642"/>
  <c r="A126"/>
  <c r="A120"/>
  <c r="A142"/>
  <c r="A444"/>
  <c r="A635"/>
  <c r="A769"/>
  <c r="A234"/>
  <c r="A481"/>
  <c r="A243"/>
  <c r="A282"/>
  <c r="A702"/>
  <c r="A470"/>
  <c r="A228"/>
  <c r="A787"/>
  <c r="A454"/>
  <c r="A52"/>
  <c r="A90"/>
  <c r="A672"/>
  <c r="A351"/>
  <c r="A485"/>
  <c r="A575"/>
  <c r="A66"/>
  <c r="A354"/>
  <c r="A289"/>
  <c r="A544"/>
  <c r="A692"/>
  <c r="A288"/>
  <c r="A130"/>
  <c r="A816"/>
  <c r="A347"/>
  <c r="A694"/>
  <c r="A220"/>
  <c r="A546"/>
  <c r="A109"/>
  <c r="A218"/>
  <c r="A650"/>
  <c r="A41"/>
  <c r="A492"/>
  <c r="A36"/>
  <c r="A21"/>
  <c r="A761"/>
  <c r="A38"/>
  <c r="A520"/>
  <c r="A740"/>
  <c r="A336"/>
  <c r="A425"/>
  <c r="A121"/>
  <c r="A656"/>
  <c r="A300"/>
  <c r="A424"/>
  <c r="A678"/>
  <c r="A574"/>
  <c r="A503"/>
  <c r="A322"/>
  <c r="A355"/>
  <c r="A681"/>
  <c r="A527"/>
  <c r="A426"/>
  <c r="A113"/>
  <c r="A93"/>
  <c r="A606"/>
  <c r="A283"/>
  <c r="A343"/>
  <c r="A828"/>
  <c r="A554"/>
  <c r="A114"/>
  <c r="A844"/>
  <c r="A312"/>
  <c r="A551"/>
  <c r="A222"/>
  <c r="A171"/>
  <c r="A604"/>
  <c r="A773"/>
  <c r="A311"/>
  <c r="A674"/>
  <c r="A615"/>
  <c r="A375"/>
  <c r="A578"/>
  <c r="A548"/>
  <c r="A421"/>
  <c r="A794"/>
  <c r="A329"/>
  <c r="A645"/>
  <c r="A194"/>
  <c r="A105"/>
  <c r="A599"/>
  <c r="A438"/>
  <c r="A275"/>
  <c r="A181"/>
  <c r="A136"/>
  <c r="A742"/>
  <c r="A797"/>
  <c r="A756"/>
  <c r="A254"/>
  <c r="A556"/>
  <c r="A307"/>
  <c r="A324"/>
  <c r="A394"/>
  <c r="A32"/>
  <c r="A214"/>
  <c r="A84"/>
  <c r="A2"/>
  <c r="A587"/>
  <c r="A851"/>
  <c r="A700"/>
  <c r="A465"/>
  <c r="A822"/>
  <c r="A383"/>
  <c r="A412"/>
  <c r="A745"/>
  <c r="A377"/>
  <c r="A630"/>
  <c r="A514"/>
  <c r="A284"/>
  <c r="A682"/>
  <c r="A215"/>
  <c r="A162"/>
  <c r="A757"/>
  <c r="A271"/>
  <c r="A841"/>
  <c r="A186"/>
  <c r="A667"/>
  <c r="A610"/>
  <c r="A552"/>
  <c r="A206"/>
  <c r="A299"/>
  <c r="A567"/>
  <c r="A273"/>
  <c r="A505"/>
  <c r="A259"/>
  <c r="A497"/>
  <c r="A462"/>
  <c r="A779"/>
  <c r="A314"/>
  <c r="A152"/>
  <c r="A56"/>
  <c r="A655"/>
  <c r="A724"/>
  <c r="A107"/>
  <c r="A708"/>
  <c r="A151"/>
  <c r="A88"/>
  <c r="A356"/>
  <c r="A217"/>
  <c r="A832"/>
  <c r="A226"/>
  <c r="A588"/>
  <c r="A561"/>
  <c r="A155"/>
  <c r="A291"/>
  <c r="A108"/>
  <c r="A703"/>
  <c r="A536"/>
</calcChain>
</file>

<file path=xl/sharedStrings.xml><?xml version="1.0" encoding="utf-8"?>
<sst xmlns="http://schemas.openxmlformats.org/spreadsheetml/2006/main" count="78" uniqueCount="53">
  <si>
    <t>Spot Rate</t>
  </si>
  <si>
    <t>INDICES</t>
  </si>
  <si>
    <t>Labour Rate</t>
  </si>
  <si>
    <t>Ask import</t>
  </si>
  <si>
    <t>Change</t>
  </si>
  <si>
    <t>Today's High</t>
  </si>
  <si>
    <t>Today's Low</t>
  </si>
  <si>
    <t>Today's Open</t>
  </si>
  <si>
    <t>Prv. Close</t>
  </si>
  <si>
    <t>52 week High</t>
  </si>
  <si>
    <t>52 week Low</t>
  </si>
  <si>
    <t xml:space="preserve">Cross Currency Major </t>
  </si>
  <si>
    <t>Cross Currencies Asia</t>
  </si>
  <si>
    <t>Ask (Import)</t>
  </si>
  <si>
    <t>% Chg</t>
  </si>
  <si>
    <t>RBI Reference Rate</t>
  </si>
  <si>
    <t>Date</t>
  </si>
  <si>
    <t>CURRENCY FUTURE</t>
  </si>
  <si>
    <t>GBP INR</t>
  </si>
  <si>
    <t>JPYINR</t>
  </si>
  <si>
    <t>Forward rate USD INR</t>
  </si>
  <si>
    <t>Premium in Pise month end</t>
  </si>
  <si>
    <t>Sport Rate</t>
  </si>
  <si>
    <t>Sport Date</t>
  </si>
  <si>
    <t>USDINR Outright Rate</t>
  </si>
  <si>
    <t>USDINR Premium in Paisa Month wise</t>
  </si>
  <si>
    <t>EURINR Premium in Paisa</t>
  </si>
  <si>
    <t>Spot rate</t>
  </si>
  <si>
    <t>Spot date</t>
  </si>
  <si>
    <t>EURINR Outright Rate</t>
  </si>
  <si>
    <t>GBPINR Premium in Paisa</t>
  </si>
  <si>
    <t>Spot Date</t>
  </si>
  <si>
    <t>GBPINR Outright Rate</t>
  </si>
  <si>
    <t>JPYINR Premium in Paisa</t>
  </si>
  <si>
    <t>JPYINR Outright Rate</t>
  </si>
  <si>
    <t>EURUSD Premium in Pips</t>
  </si>
  <si>
    <t>EURUSD Outright Rate</t>
  </si>
  <si>
    <t>GBPUSD Premium in Pips</t>
  </si>
  <si>
    <t>GBPUSD Outright Rate</t>
  </si>
  <si>
    <t>USDJPY Premium in Pips</t>
  </si>
  <si>
    <t>USDJPY Outright Rate</t>
  </si>
  <si>
    <t>bit</t>
  </si>
  <si>
    <t>today high</t>
  </si>
  <si>
    <t>today low</t>
  </si>
  <si>
    <t>today open</t>
  </si>
  <si>
    <t>pre close</t>
  </si>
  <si>
    <t>52 high</t>
  </si>
  <si>
    <t>25 low</t>
  </si>
  <si>
    <t>usd inr 10 moth outrage</t>
  </si>
  <si>
    <t>Currency Future</t>
  </si>
  <si>
    <t xml:space="preserve">USD INR </t>
  </si>
  <si>
    <t>Bid (Export)</t>
  </si>
  <si>
    <t>EURINR</t>
  </si>
</sst>
</file>

<file path=xl/styles.xml><?xml version="1.0" encoding="utf-8"?>
<styleSheet xmlns="http://schemas.openxmlformats.org/spreadsheetml/2006/main">
  <numFmts count="4">
    <numFmt numFmtId="164" formatCode="0.0000"/>
    <numFmt numFmtId="165" formatCode="[$-409]d/mmm/yy;@"/>
    <numFmt numFmtId="166" formatCode="dd\-mmm\-yyyy"/>
    <numFmt numFmtId="167" formatCode="_(* #,##0.00_);_(* \(#,##0.00\);_(* &quot;-&quot;??_);_(@_)"/>
  </numFmts>
  <fonts count="14">
    <font>
      <sz val="11"/>
      <color theme="1"/>
      <name val="Calibri"/>
      <family val="2"/>
      <scheme val="minor"/>
    </font>
    <font>
      <sz val="1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5"/>
      <color theme="1"/>
      <name val="Calibri"/>
      <family val="2"/>
      <scheme val="minor"/>
    </font>
    <font>
      <sz val="15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Verdana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name val="Calibri"/>
      <family val="2"/>
      <scheme val="minor"/>
    </font>
    <font>
      <sz val="12"/>
      <color rgb="FF000000"/>
      <name val="Cambria"/>
      <family val="1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FD3D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right"/>
    </xf>
    <xf numFmtId="0" fontId="1" fillId="0" borderId="1" xfId="0" applyNumberFormat="1" applyFont="1" applyFill="1" applyBorder="1" applyAlignment="1">
      <alignment horizontal="center" wrapText="1"/>
    </xf>
    <xf numFmtId="165" fontId="2" fillId="2" borderId="2" xfId="0" applyNumberFormat="1" applyFont="1" applyFill="1" applyBorder="1" applyAlignment="1">
      <alignment horizontal="center"/>
    </xf>
    <xf numFmtId="166" fontId="6" fillId="2" borderId="4" xfId="0" applyNumberFormat="1" applyFont="1" applyFill="1" applyBorder="1"/>
    <xf numFmtId="2" fontId="1" fillId="0" borderId="1" xfId="0" applyNumberFormat="1" applyFont="1" applyFill="1" applyBorder="1" applyAlignment="1">
      <alignment horizontal="center" wrapText="1"/>
    </xf>
    <xf numFmtId="0" fontId="1" fillId="3" borderId="1" xfId="0" applyNumberFormat="1" applyFont="1" applyFill="1" applyBorder="1" applyAlignment="1">
      <alignment horizontal="center" wrapText="1"/>
    </xf>
    <xf numFmtId="0" fontId="0" fillId="4" borderId="1" xfId="0" applyFont="1" applyFill="1" applyBorder="1"/>
    <xf numFmtId="2" fontId="1" fillId="4" borderId="1" xfId="0" applyNumberFormat="1" applyFont="1" applyFill="1" applyBorder="1" applyAlignment="1">
      <alignment horizontal="center" wrapText="1"/>
    </xf>
    <xf numFmtId="164" fontId="3" fillId="3" borderId="1" xfId="0" applyNumberFormat="1" applyFont="1" applyFill="1" applyBorder="1"/>
    <xf numFmtId="164" fontId="3" fillId="4" borderId="1" xfId="0" applyNumberFormat="1" applyFont="1" applyFill="1" applyBorder="1"/>
    <xf numFmtId="164" fontId="4" fillId="3" borderId="1" xfId="0" applyNumberFormat="1" applyFont="1" applyFill="1" applyBorder="1" applyAlignment="1">
      <alignment horizontal="center" wrapText="1"/>
    </xf>
    <xf numFmtId="164" fontId="4" fillId="4" borderId="1" xfId="0" applyNumberFormat="1" applyFont="1" applyFill="1" applyBorder="1" applyAlignment="1">
      <alignment horizontal="center" wrapText="1"/>
    </xf>
    <xf numFmtId="0" fontId="4" fillId="3" borderId="1" xfId="0" applyNumberFormat="1" applyFont="1" applyFill="1" applyBorder="1"/>
    <xf numFmtId="0" fontId="4" fillId="4" borderId="1" xfId="0" applyNumberFormat="1" applyFont="1" applyFill="1" applyBorder="1"/>
    <xf numFmtId="2" fontId="1" fillId="3" borderId="1" xfId="0" applyNumberFormat="1" applyFont="1" applyFill="1" applyBorder="1" applyAlignment="1">
      <alignment horizontal="center" wrapText="1"/>
    </xf>
    <xf numFmtId="0" fontId="1" fillId="3" borderId="1" xfId="0" applyNumberFormat="1" applyFont="1" applyFill="1" applyBorder="1"/>
    <xf numFmtId="0" fontId="1" fillId="4" borderId="1" xfId="0" applyNumberFormat="1" applyFont="1" applyFill="1" applyBorder="1"/>
    <xf numFmtId="0" fontId="9" fillId="0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vertical="center"/>
    </xf>
    <xf numFmtId="0" fontId="1" fillId="5" borderId="7" xfId="0" applyFont="1" applyFill="1" applyBorder="1"/>
    <xf numFmtId="0" fontId="7" fillId="0" borderId="1" xfId="0" applyNumberFormat="1" applyFont="1" applyFill="1" applyBorder="1" applyAlignment="1">
      <alignment horizontal="right" vertical="center" wrapText="1"/>
    </xf>
    <xf numFmtId="0" fontId="8" fillId="0" borderId="1" xfId="0" applyFont="1" applyBorder="1"/>
    <xf numFmtId="0" fontId="0" fillId="2" borderId="1" xfId="0" applyFont="1" applyFill="1" applyBorder="1"/>
    <xf numFmtId="0" fontId="0" fillId="3" borderId="1" xfId="0" applyFont="1" applyFill="1" applyBorder="1"/>
    <xf numFmtId="2" fontId="0" fillId="3" borderId="1" xfId="0" applyNumberFormat="1" applyFont="1" applyFill="1" applyBorder="1"/>
    <xf numFmtId="0" fontId="0" fillId="2" borderId="3" xfId="0" applyFont="1" applyFill="1" applyBorder="1"/>
    <xf numFmtId="0" fontId="0" fillId="3" borderId="3" xfId="0" applyFont="1" applyFill="1" applyBorder="1"/>
    <xf numFmtId="2" fontId="0" fillId="3" borderId="3" xfId="0" applyNumberFormat="1" applyFont="1" applyFill="1" applyBorder="1"/>
    <xf numFmtId="164" fontId="0" fillId="2" borderId="2" xfId="0" applyNumberFormat="1" applyFont="1" applyFill="1" applyBorder="1"/>
    <xf numFmtId="164" fontId="5" fillId="2" borderId="2" xfId="0" applyNumberFormat="1" applyFont="1" applyFill="1" applyBorder="1" applyAlignment="1">
      <alignment horizontal="center" wrapText="1"/>
    </xf>
    <xf numFmtId="0" fontId="10" fillId="2" borderId="10" xfId="0" applyFont="1" applyFill="1" applyBorder="1" applyAlignment="1">
      <alignment vertical="center"/>
    </xf>
    <xf numFmtId="0" fontId="10" fillId="2" borderId="11" xfId="0" applyFont="1" applyFill="1" applyBorder="1" applyAlignment="1">
      <alignment vertical="center"/>
    </xf>
    <xf numFmtId="0" fontId="0" fillId="2" borderId="1" xfId="0" applyNumberFormat="1" applyFont="1" applyFill="1" applyBorder="1"/>
    <xf numFmtId="2" fontId="0" fillId="2" borderId="1" xfId="0" applyNumberFormat="1" applyFont="1" applyFill="1" applyBorder="1"/>
    <xf numFmtId="2" fontId="0" fillId="2" borderId="3" xfId="0" applyNumberFormat="1" applyFont="1" applyFill="1" applyBorder="1"/>
    <xf numFmtId="15" fontId="0" fillId="2" borderId="1" xfId="0" applyNumberFormat="1" applyFont="1" applyFill="1" applyBorder="1" applyAlignment="1">
      <alignment horizontal="center" wrapText="1"/>
    </xf>
    <xf numFmtId="164" fontId="0" fillId="2" borderId="1" xfId="0" applyNumberFormat="1" applyFont="1" applyFill="1" applyBorder="1"/>
    <xf numFmtId="164" fontId="0" fillId="2" borderId="3" xfId="0" applyNumberFormat="1" applyFont="1" applyFill="1" applyBorder="1"/>
    <xf numFmtId="0" fontId="0" fillId="2" borderId="1" xfId="0" applyFill="1" applyBorder="1"/>
    <xf numFmtId="0" fontId="0" fillId="2" borderId="3" xfId="0" applyFill="1" applyBorder="1"/>
    <xf numFmtId="0" fontId="0" fillId="2" borderId="6" xfId="0" applyFill="1" applyBorder="1"/>
    <xf numFmtId="0" fontId="0" fillId="7" borderId="1" xfId="0" applyNumberFormat="1" applyFont="1" applyFill="1" applyBorder="1"/>
    <xf numFmtId="0" fontId="0" fillId="7" borderId="1" xfId="0" applyFont="1" applyFill="1" applyBorder="1"/>
    <xf numFmtId="2" fontId="0" fillId="7" borderId="1" xfId="0" applyNumberFormat="1" applyFont="1" applyFill="1" applyBorder="1"/>
    <xf numFmtId="0" fontId="0" fillId="7" borderId="3" xfId="0" applyFont="1" applyFill="1" applyBorder="1"/>
    <xf numFmtId="2" fontId="0" fillId="7" borderId="3" xfId="0" applyNumberFormat="1" applyFont="1" applyFill="1" applyBorder="1"/>
    <xf numFmtId="0" fontId="0" fillId="7" borderId="1" xfId="0" applyFill="1" applyBorder="1"/>
    <xf numFmtId="0" fontId="0" fillId="7" borderId="5" xfId="0" applyFill="1" applyBorder="1"/>
    <xf numFmtId="0" fontId="0" fillId="7" borderId="3" xfId="0" applyFill="1" applyBorder="1"/>
    <xf numFmtId="0" fontId="11" fillId="0" borderId="0" xfId="0" applyFont="1"/>
    <xf numFmtId="0" fontId="12" fillId="5" borderId="7" xfId="0" applyFont="1" applyFill="1" applyBorder="1"/>
    <xf numFmtId="0" fontId="12" fillId="6" borderId="1" xfId="0" applyFont="1" applyFill="1" applyBorder="1"/>
    <xf numFmtId="0" fontId="1" fillId="0" borderId="1" xfId="0" applyFont="1" applyFill="1" applyBorder="1" applyAlignment="1">
      <alignment horizontal="center" vertical="center" wrapText="1"/>
    </xf>
    <xf numFmtId="164" fontId="7" fillId="0" borderId="1" xfId="0" applyNumberFormat="1" applyFont="1" applyFill="1" applyBorder="1" applyAlignment="1">
      <alignment horizontal="right" vertical="center" wrapText="1"/>
    </xf>
    <xf numFmtId="164" fontId="8" fillId="0" borderId="1" xfId="0" applyNumberFormat="1" applyFont="1" applyBorder="1"/>
    <xf numFmtId="0" fontId="1" fillId="0" borderId="1" xfId="0" applyFont="1" applyFill="1" applyBorder="1" applyAlignment="1">
      <alignment vertical="center" wrapText="1"/>
    </xf>
    <xf numFmtId="164" fontId="1" fillId="0" borderId="1" xfId="0" applyNumberFormat="1" applyFont="1" applyFill="1" applyBorder="1" applyAlignment="1">
      <alignment horizontal="right" vertical="center" wrapText="1"/>
    </xf>
    <xf numFmtId="0" fontId="1" fillId="5" borderId="12" xfId="0" applyFont="1" applyFill="1" applyBorder="1"/>
    <xf numFmtId="0" fontId="12" fillId="5" borderId="8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167" fontId="13" fillId="8" borderId="1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volatileDependencies.xml><?xml version="1.0" encoding="utf-8"?>
<volTypes xmlns="http://schemas.openxmlformats.org/spreadsheetml/2006/main">
  <volType type="realTimeData">
    <main first="tickerplantrtdserver">
      <tp t="e">
        <v>#N/A</v>
        <stp/>
        <stp>12#2#1#6069#SUSDMYR#Low</stp>
        <tr r="A160" s="1"/>
      </tp>
      <tp t="e">
        <v>#N/A</v>
        <stp/>
        <stp>4#1#2#3556#%Chg</stp>
        <tr r="A51" s="1"/>
      </tp>
      <tp t="e">
        <v>#N/A</v>
        <stp/>
        <stp>12#2#1#6069#SUSDCNY#Bid</stp>
        <tr r="A123" s="1"/>
      </tp>
      <tp t="e">
        <v>#N/A</v>
        <stp/>
        <stp>12#2#1#6069#SUSDCAD#Bid</stp>
        <tr r="A76" s="1"/>
      </tp>
      <tp t="e">
        <v>#N/A</v>
        <stp/>
        <stp>12#2#1#6069#SUSDCAD#Ask</stp>
        <tr r="A81" s="1"/>
      </tp>
      <tp t="e">
        <v>#N/A</v>
        <stp/>
        <stp>12#2#1#6069#SUSDCNY#Ask</stp>
        <tr r="A132" s="1"/>
      </tp>
      <tp t="e">
        <v>#N/A</v>
        <stp/>
        <stp>12#2#1#6069#SUSDTWD#%Chg</stp>
        <tr r="A137" s="1"/>
      </tp>
      <tp t="e">
        <v>#N/A</v>
        <stp/>
        <stp>42#2#1#6219#2#LTP</stp>
        <tr r="A40" s="1"/>
      </tp>
      <tp t="e">
        <v>#N/A</v>
        <stp/>
        <stp>FWRC1#GBPUSD#Month Wise Rates#0#S#Desc.2</stp>
        <tr r="A681" s="1"/>
      </tp>
      <tp t="e">
        <v>#N/A</v>
        <stp/>
        <stp>FWRC1#GBPUSD#Month Wise Rates#0#S#Desc.7</stp>
        <tr r="A685" s="1"/>
      </tp>
      <tp t="e">
        <v>#N/A</v>
        <stp/>
        <stp>FWRC1#GBPUSD#Month Wise Rates#0#S#Desc.8</stp>
        <tr r="A689" s="1"/>
      </tp>
      <tp t="e">
        <v>#N/A</v>
        <stp/>
        <stp>FWRC1#GBPUSD#Month Wise Rates#0#S#Desc.9</stp>
        <tr r="A693" s="1"/>
      </tp>
      <tp t="e">
        <v>#N/A</v>
        <stp/>
        <stp>FWRC1#EURUSD#Month Wise Rates#0#S#Desc.7</stp>
        <tr r="A604" s="1"/>
      </tp>
      <tp t="e">
        <v>#N/A</v>
        <stp/>
        <stp>FWRC1#EURUSD#Month Wise Rates#0#S#Desc.2</stp>
        <tr r="A600" s="1"/>
      </tp>
      <tp t="e">
        <v>#N/A</v>
        <stp/>
        <stp>FWRC1#EURUSD#Month Wise Rates#0#S#Desc.9</stp>
        <tr r="A612" s="1"/>
      </tp>
      <tp t="e">
        <v>#N/A</v>
        <stp/>
        <stp>FWRC1#EURUSD#Month Wise Rates#0#S#Desc.8</stp>
        <tr r="A608" s="1"/>
      </tp>
      <tp t="e">
        <v>#N/A</v>
        <stp/>
        <stp>12#2#1#6069#SUSDCNY#52WkHigh</stp>
        <tr r="A186" s="1"/>
      </tp>
      <tp t="e">
        <v>#N/A</v>
        <stp/>
        <stp>FWRC1#EURINR#Month Wise Rates#0#S#PillarDate0</stp>
        <tr r="A418" s="1"/>
      </tp>
      <tp t="e">
        <v>#N/A</v>
        <stp/>
        <stp>FWRC1#EURINR#Month Wise Rates#0#S#PillarDate2</stp>
        <tr r="A365" s="1"/>
      </tp>
      <tp t="e">
        <v>#N/A</v>
        <stp/>
        <stp>FWRC1#EURINR#Month Wise Rates#0#S#PillarDate7</stp>
        <tr r="A294" s="1"/>
        <tr r="A369" s="1"/>
      </tp>
      <tp t="e">
        <v>#N/A</v>
        <stp/>
        <stp>FWRC1#EURINR#Month Wise Rates#0#S#PillarDate8</stp>
        <tr r="A373" s="1"/>
        <tr r="A298" s="1"/>
      </tp>
      <tp t="e">
        <v>#N/A</v>
        <stp/>
        <stp>FWRC1#EURINR#Month Wise Rates#0#S#PillarDate9</stp>
        <tr r="A377" s="1"/>
        <tr r="A302" s="1"/>
      </tp>
      <tp t="e">
        <v>#N/A</v>
        <stp/>
        <stp>12#2#1#6069#SUSDHKD#Low</stp>
        <tr r="A154" s="1"/>
      </tp>
      <tp t="e">
        <v>#N/A</v>
        <stp/>
        <stp>12#2#1#6069#SUSDJPY#%Chg</stp>
        <tr r="A84" s="1"/>
      </tp>
      <tp t="e">
        <v>#N/A</v>
        <stp/>
        <stp>12#2#1#6069#SUSDIDR#Low</stp>
        <tr r="A158" s="1"/>
      </tp>
      <tp t="e">
        <v>#N/A</v>
        <stp/>
        <stp>12#2#1#6069#SUSDTHB#52WkHigh</stp>
        <tr r="A188" s="1"/>
      </tp>
      <tp t="e">
        <v>#N/A</v>
        <stp/>
        <stp>12#2#1#6069#SUSDPHP#52WkHigh</stp>
        <tr r="A184" s="1"/>
      </tp>
      <tp t="e">
        <v>#N/A</v>
        <stp/>
        <stp>12#2#1#6069#SUSDJPY#Low</stp>
        <tr r="A94" s="1"/>
      </tp>
      <tp t="e">
        <v>#N/A</v>
        <stp/>
        <stp>FWRC1#GBPINR#Month Wise Rates#0#S#PillarDate2</stp>
        <tr r="A443" s="1"/>
      </tp>
      <tp t="e">
        <v>#N/A</v>
        <stp/>
        <stp>FWRC1#GBPINR#Month Wise Rates#0#S#PillarDate0</stp>
        <tr r="A496" s="1"/>
      </tp>
      <tp t="e">
        <v>#N/A</v>
        <stp/>
        <stp>FWRC1#GBPINR#Month Wise Rates#0#S#PillarDate7</stp>
        <tr r="A447" s="1"/>
      </tp>
      <tp t="e">
        <v>#N/A</v>
        <stp/>
        <stp>FWRC1#GBPINR#Month Wise Rates#0#S#PillarDate8</stp>
        <tr r="A451" s="1"/>
      </tp>
      <tp t="e">
        <v>#N/A</v>
        <stp/>
        <stp>FWRC1#GBPINR#Month Wise Rates#0#S#PillarDate9</stp>
        <tr r="A455" s="1"/>
      </tp>
      <tp t="e">
        <v>#N/A</v>
        <stp/>
        <stp>12#2#1#6069#SUSDHKD#52WkHigh</stp>
        <tr r="A181" s="1"/>
      </tp>
      <tp t="e">
        <v>#N/A</v>
        <stp/>
        <stp>12#2#1#6069#SUSDKRW#%Chg</stp>
        <tr r="A138" s="1"/>
      </tp>
      <tp t="e">
        <v>#N/A</v>
        <stp/>
        <stp>12#2#1#6069#SUSDKRW#Low</stp>
        <tr r="A156" s="1"/>
      </tp>
      <tp t="e">
        <v>#N/A</v>
        <stp/>
        <stp>12#2#1#6069#SUSDIDR#Ask</stp>
        <tr r="A131" s="1"/>
      </tp>
      <tp t="e">
        <v>#N/A</v>
        <stp/>
        <stp>12#2#1#6069#SUSDJPY#Bid</stp>
        <tr r="A74" s="1"/>
      </tp>
      <tp t="e">
        <v>#N/A</v>
        <stp/>
        <stp>42#1#1#6253#1#LTP</stp>
        <tr r="A43" s="1"/>
      </tp>
      <tp t="e">
        <v>#N/A</v>
        <stp/>
        <stp>12#2#1#6069#SUSDKRW#Bid</stp>
        <tr r="A120" s="1"/>
      </tp>
      <tp t="e">
        <v>#N/A</v>
        <stp/>
        <stp>12#2#1#6069#SUSDHKD#Ask</stp>
        <tr r="A127" s="1"/>
      </tp>
      <tp t="e">
        <v>#N/A</v>
        <stp/>
        <stp>12#2#1#6031#SGBPUSD#52WkHigh</stp>
        <tr r="A108" s="1"/>
      </tp>
      <tp t="e">
        <v>#N/A</v>
        <stp/>
        <stp>12#2#1#6069#SUSDIDR#52WkHigh</stp>
        <tr r="A185" s="1"/>
      </tp>
      <tp t="e">
        <v>#N/A</v>
        <stp/>
        <stp>FWRC1#USDJPY#Month Wise Rates#0#S#PillarDate7</stp>
        <tr r="A767" s="1"/>
      </tp>
      <tp t="e">
        <v>#N/A</v>
        <stp/>
        <stp>FWRC1#USDJPY#Month Wise Rates#0#S#PillarDate2</stp>
        <tr r="A763" s="1"/>
      </tp>
      <tp t="e">
        <v>#N/A</v>
        <stp/>
        <stp>FWRC1#USDJPY#Month Wise Rates#0#S#PillarDate0</stp>
        <tr r="A816" s="1"/>
      </tp>
      <tp t="e">
        <v>#N/A</v>
        <stp/>
        <stp>FWRC1#USDJPY#Month Wise Rates#0#S#PillarDate8</stp>
        <tr r="A771" s="1"/>
      </tp>
      <tp t="e">
        <v>#N/A</v>
        <stp/>
        <stp>FWRC1#USDJPY#Month Wise Rates#0#S#PillarDate9</stp>
        <tr r="A775" s="1"/>
      </tp>
      <tp t="e">
        <v>#N/A</v>
        <stp/>
        <stp>12#2#1#6069#SUSDHKD#Bid</stp>
        <tr r="A118" s="1"/>
      </tp>
      <tp t="e">
        <v>#N/A</v>
        <stp/>
        <stp>12#2#1#6069#SUSDKRW#Ask</stp>
        <tr r="A129" s="1"/>
      </tp>
      <tp t="e">
        <v>#N/A</v>
        <stp/>
        <stp>12#2#1#6069#SUSDSGD#52WkHigh</stp>
        <tr r="A180" s="1"/>
      </tp>
      <tp t="e">
        <v>#N/A</v>
        <stp/>
        <stp>FWRC1#JPYINR#Month Wise Rates#0#S#PillarDate9</stp>
        <tr r="A534" s="1"/>
      </tp>
      <tp t="e">
        <v>#N/A</v>
        <stp/>
        <stp>FWRC1#JPYINR#Month Wise Rates#0#S#PillarDate8</stp>
        <tr r="A530" s="1"/>
      </tp>
      <tp t="e">
        <v>#N/A</v>
        <stp/>
        <stp>FWRC1#JPYINR#Month Wise Rates#0#S#PillarDate2</stp>
        <tr r="A522" s="1"/>
      </tp>
      <tp t="e">
        <v>#N/A</v>
        <stp/>
        <stp>FWRC1#JPYINR#Month Wise Rates#0#S#PillarDate0</stp>
        <tr r="A575" s="1"/>
      </tp>
      <tp t="e">
        <v>#N/A</v>
        <stp/>
        <stp>FWRC1#JPYINR#Month Wise Rates#0#S#PillarDate7</stp>
        <tr r="A526" s="1"/>
      </tp>
      <tp t="e">
        <v>#N/A</v>
        <stp/>
        <stp>12#2#1#6069#SUSDJPY#Ask</stp>
        <tr r="A79" s="1"/>
      </tp>
      <tp t="e">
        <v>#N/A</v>
        <stp/>
        <stp>12#2#1#6069#SUSDIDR#Bid</stp>
        <tr r="A122" s="1"/>
      </tp>
      <tp t="e">
        <v>#N/A</v>
        <stp/>
        <stp>12#2#1#6069#SUSDMYR#%Chg</stp>
        <tr r="A142" s="1"/>
      </tp>
      <tp t="e">
        <v>#N/A</v>
        <stp/>
        <stp>12#2#1#6069#SUSDMYR#Ask</stp>
        <tr r="A133" s="1"/>
      </tp>
      <tp t="e">
        <v>#N/A</v>
        <stp/>
        <stp>12#2#1#5903#SAUDUSD#52WkHigh</stp>
        <tr r="A110" s="1"/>
      </tp>
      <tp t="e">
        <v>#N/A</v>
        <stp/>
        <stp>12#2#1#6069#SUSDCAD#52WkHigh</stp>
        <tr r="A111" s="1"/>
      </tp>
      <tp t="e">
        <v>#N/A</v>
        <stp/>
        <stp>12#2#1#5949#SEURUSD#52WkHigh</stp>
        <tr r="A107" s="1"/>
      </tp>
      <tp t="e">
        <v>#N/A</v>
        <stp/>
        <stp>42#4#1#6217#4#LTP</stp>
        <tr r="A41" s="1"/>
      </tp>
      <tp t="e">
        <v>#N/A</v>
        <stp/>
        <stp>12#2#1#6069#SUSDMYR#Bid</stp>
        <tr r="A124" s="1"/>
      </tp>
      <tp t="e">
        <v>#N/A</v>
        <stp/>
        <stp>12#2#1#6069#SUSDCNY#Low</stp>
        <tr r="A159" s="1"/>
      </tp>
      <tp t="e">
        <v>#N/A</v>
        <stp/>
        <stp>12#2#1#6069#SUSDCAD#Low</stp>
        <tr r="A96" s="1"/>
      </tp>
      <tp t="e">
        <v>#N/A</v>
        <stp/>
        <stp>12#2#1#5903#SAUDUSD#Low</stp>
        <tr r="A95" s="1"/>
      </tp>
      <tp t="e">
        <v>#N/A</v>
        <stp/>
        <stp>12#2#1#5949#SEURUSD#Low</stp>
        <tr r="A92" s="1"/>
      </tp>
      <tp t="e">
        <v>#N/A</v>
        <stp/>
        <stp>42#2#1#6219#2#%Chg</stp>
        <tr r="A52" s="1"/>
      </tp>
      <tp t="e">
        <v>#N/A</v>
        <stp/>
        <stp>17#2#1#6069#USDINRCOMP Fwd MW 1M#Bid</stp>
        <tr r="A295" s="1"/>
      </tp>
      <tp t="e">
        <v>#N/A</v>
        <stp/>
        <stp>17#2#1#6069#USDINRCOMP Fwd MW 3M#Bid</stp>
        <tr r="A303" s="1"/>
      </tp>
      <tp t="e">
        <v>#N/A</v>
        <stp/>
        <stp>17#2#1#6069#USDINRCOMP Fwd MW 2M#Bid</stp>
        <tr r="A299" s="1"/>
      </tp>
      <tp t="e">
        <v>#N/A</v>
        <stp/>
        <stp>17#2#1#6069#USDINRCOMP Fwd MW 5M#Bid</stp>
        <tr r="A311" s="1"/>
      </tp>
      <tp t="e">
        <v>#N/A</v>
        <stp/>
        <stp>17#2#1#6069#USDINRCOMP Fwd MW 4M#Bid</stp>
        <tr r="A307" s="1"/>
      </tp>
      <tp t="e">
        <v>#N/A</v>
        <stp/>
        <stp>17#2#1#6069#USDINRCOMP Fwd MW 7M#Bid</stp>
        <tr r="A319" s="1"/>
      </tp>
      <tp t="e">
        <v>#N/A</v>
        <stp/>
        <stp>17#2#1#6069#USDINRCOMP Fwd MW 6M#Bid</stp>
        <tr r="A315" s="1"/>
      </tp>
      <tp t="e">
        <v>#N/A</v>
        <stp/>
        <stp>17#2#1#6069#USDINRCOMP Fwd MW 9M#Bid</stp>
        <tr r="A327" s="1"/>
      </tp>
      <tp t="e">
        <v>#N/A</v>
        <stp/>
        <stp>17#2#1#6069#USDINRCOMP Fwd MW 8M#Bid</stp>
        <tr r="A323" s="1"/>
      </tp>
      <tp t="e">
        <v>#N/A</v>
        <stp/>
        <stp>12#2#1#6069#SUSDIDR#%Chg</stp>
        <tr r="A140" s="1"/>
      </tp>
      <tp t="e">
        <v>#N/A</v>
        <stp/>
        <stp>12#2#1#6031#SGBPUSD#%Chg</stp>
        <tr r="A83" s="1"/>
      </tp>
      <tp t="e">
        <v>#N/A</v>
        <stp/>
        <stp>12#2#1#6069#SUSDPHP#Ask</stp>
        <tr r="A130" s="1"/>
      </tp>
      <tp t="e">
        <v>#N/A</v>
        <stp/>
        <stp>12#2#1#6069#SUSDSGD#Bid</stp>
        <tr r="A117" s="1"/>
      </tp>
      <tp t="e">
        <v>#N/A</v>
        <stp/>
        <stp>12#2#1#5949#SEURINR#52WkHigh</stp>
        <tr r="A31" s="1"/>
      </tp>
      <tp t="e">
        <v>#N/A</v>
        <stp/>
        <stp>17#3#1#6031#GBPINRCOMP#Low</stp>
        <tr r="A20" s="1"/>
      </tp>
      <tp t="e">
        <v>#N/A</v>
        <stp/>
        <stp>17#2#1#6069#USDINRCOMP Fwd MW 9M#Ask</stp>
        <tr r="A328" s="1"/>
      </tp>
      <tp t="e">
        <v>#N/A</v>
        <stp/>
        <stp>17#2#1#6069#USDINRCOMP Fwd MW 8M#Ask</stp>
        <tr r="A324" s="1"/>
      </tp>
      <tp t="e">
        <v>#N/A</v>
        <stp/>
        <stp>17#2#1#6069#USDINRCOMP Fwd MW 3M#Ask</stp>
        <tr r="A304" s="1"/>
      </tp>
      <tp t="e">
        <v>#N/A</v>
        <stp/>
        <stp>17#2#1#6069#USDINRCOMP Fwd MW 2M#Ask</stp>
        <tr r="A300" s="1"/>
      </tp>
      <tp t="e">
        <v>#N/A</v>
        <stp/>
        <stp>17#2#1#6069#USDINRCOMP Fwd MW 1M#Ask</stp>
        <tr r="A296" s="1"/>
      </tp>
      <tp t="e">
        <v>#N/A</v>
        <stp/>
        <stp>17#2#1#6069#USDINRCOMP Fwd MW 7M#Ask</stp>
        <tr r="A320" s="1"/>
      </tp>
      <tp t="e">
        <v>#N/A</v>
        <stp/>
        <stp>42#1#1#6253#1#%Chg</stp>
        <tr r="A55" s="1"/>
      </tp>
      <tp t="e">
        <v>#N/A</v>
        <stp/>
        <stp>17#2#1#6069#USDINRCOMP Fwd MW 6M#Ask</stp>
        <tr r="A316" s="1"/>
      </tp>
      <tp t="e">
        <v>#N/A</v>
        <stp/>
        <stp>17#2#1#6069#USDINRCOMP Fwd MW 5M#Ask</stp>
        <tr r="A312" s="1"/>
      </tp>
      <tp t="e">
        <v>#N/A</v>
        <stp/>
        <stp>17#2#1#6069#USDINRCOMP Fwd MW 4M#Ask</stp>
        <tr r="A308" s="1"/>
      </tp>
      <tp t="e">
        <v>#N/A</v>
        <stp/>
        <stp>12#2#1#6069#SUSDSGD#Ask</stp>
        <tr r="A126" s="1"/>
      </tp>
      <tp t="e">
        <v>#N/A</v>
        <stp/>
        <stp>12#2#1#6069#SUSDSGD#%Chg</stp>
        <tr r="A135" s="1"/>
      </tp>
      <tp t="e">
        <v>#N/A</v>
        <stp/>
        <stp>12#2#1#6069#SUSDPHP#Bid</stp>
        <tr r="A121" s="1"/>
      </tp>
      <tp t="e">
        <v>#N/A</v>
        <stp/>
        <stp>17#3#1#5949#EURINRCOMP#Low</stp>
        <tr r="A19" s="1"/>
      </tp>
      <tp t="e">
        <v>#N/A</v>
        <stp/>
        <stp>17#3#1#5978#JPYINRCOMP#Low</stp>
        <tr r="A21" s="1"/>
      </tp>
      <tp t="e">
        <v>#N/A</v>
        <stp/>
        <stp>17#1#1#6069#USDINRCOMP#Low</stp>
        <tr r="A18" s="1"/>
      </tp>
      <tp t="e">
        <v>#N/A</v>
        <stp/>
        <stp>12#2#1#6031#SGBPUSD#Ask</stp>
        <tr r="A78" s="1"/>
      </tp>
      <tp t="e">
        <v>#N/A</v>
        <stp/>
        <stp>12#2#1#6069#SUSDCAD#%Chg</stp>
        <tr r="A86" s="1"/>
      </tp>
      <tp t="e">
        <v>#N/A</v>
        <stp/>
        <stp>12#2#1#5949#SEURUSD#%Chg</stp>
        <tr r="A82" s="1"/>
      </tp>
      <tp t="e">
        <v>#N/A</v>
        <stp/>
        <stp>12#2#1#5903#SAUDUSD#%Chg</stp>
        <tr r="A85" s="1"/>
      </tp>
      <tp t="e">
        <v>#N/A</v>
        <stp/>
        <stp>4#1#2#3556#NetChg</stp>
        <tr r="A45" s="1"/>
      </tp>
      <tp t="e">
        <v>#N/A</v>
        <stp/>
        <stp>12#2#1#6031#SGBPINR#52WkHigh</stp>
        <tr r="A32" s="1"/>
      </tp>
      <tp t="e">
        <v>#N/A</v>
        <stp/>
        <stp>12#2#1#6069#SUSDMYR#52WkHigh</stp>
        <tr r="A187" s="1"/>
      </tp>
      <tp t="e">
        <v>#N/A</v>
        <stp/>
        <stp>12#2#1#6069#SUSDTHB#Ask</stp>
        <tr r="A134" s="1"/>
      </tp>
      <tp t="e">
        <v>#N/A</v>
        <stp/>
        <stp>12#2#1#6069#SUSDTWD#Ask</stp>
        <tr r="A128" s="1"/>
      </tp>
      <tp t="e">
        <v>#N/A</v>
        <stp/>
        <stp>12#2#1#6069#SUSDTWD#Bid</stp>
        <tr r="A119" s="1"/>
      </tp>
      <tp t="e">
        <v>#N/A</v>
        <stp/>
        <stp>12#2#1#6069#SUSDTHB#Bid</stp>
        <tr r="A125" s="1"/>
      </tp>
      <tp t="e">
        <v>#N/A</v>
        <stp/>
        <stp>3#1#3#658#NetChg</stp>
        <tr r="A44" s="1"/>
      </tp>
      <tp t="e">
        <v>#N/A</v>
        <stp/>
        <stp>42#4#1#6217#4#%Chg</stp>
        <tr r="A53" s="1"/>
      </tp>
      <tp t="e">
        <v>#N/A</v>
        <stp/>
        <stp>12#2#1#6031#SGBPUSD#Bid</stp>
        <tr r="A73" s="1"/>
      </tp>
      <tp t="e">
        <v>#N/A</v>
        <stp/>
        <stp>12#2#1#6069#SUSDTWD#Low</stp>
        <tr r="A155" s="1"/>
      </tp>
      <tp t="e">
        <v>#N/A</v>
        <stp/>
        <stp>12#2#1#6069#SUSDTHB#Low</stp>
        <tr r="A161" s="1"/>
      </tp>
      <tp t="e">
        <v>#N/A</v>
        <stp/>
        <stp>FWRC1#EURUSD#Month Wise Rates#0#S#PillarDate0</stp>
        <tr r="A654" s="1"/>
      </tp>
      <tp t="e">
        <v>#N/A</v>
        <stp/>
        <stp>FWRC1#EURUSD#Month Wise Rates#0#S#PillarDate2</stp>
        <tr r="A601" s="1"/>
      </tp>
      <tp t="e">
        <v>#N/A</v>
        <stp/>
        <stp>FWRC1#EURUSD#Month Wise Rates#0#S#PillarDate7</stp>
        <tr r="A605" s="1"/>
      </tp>
      <tp t="e">
        <v>#N/A</v>
        <stp/>
        <stp>FWRC1#EURUSD#Month Wise Rates#0#S#PillarDate8</stp>
        <tr r="A609" s="1"/>
      </tp>
      <tp t="e">
        <v>#N/A</v>
        <stp/>
        <stp>FWRC1#EURUSD#Month Wise Rates#0#S#PillarDate9</stp>
        <tr r="A613" s="1"/>
      </tp>
      <tp t="e">
        <v>#N/A</v>
        <stp/>
        <stp>12#2#1#6031#SGBPUSD#Low</stp>
        <tr r="A93" s="1"/>
      </tp>
      <tp t="e">
        <v>#N/A</v>
        <stp/>
        <stp>12#2#1#6069#SUSDTWD#52WkHigh</stp>
        <tr r="A182" s="1"/>
      </tp>
      <tp t="e">
        <v>#N/A</v>
        <stp/>
        <stp>12#2#1#6069#SUSDCNY#%Chg</stp>
        <tr r="A141" s="1"/>
      </tp>
      <tp t="e">
        <v>#N/A</v>
        <stp/>
        <stp>FWRC1#GBPUSD#Month Wise Rates#0#S#PillarDate2</stp>
        <tr r="A682" s="1"/>
      </tp>
      <tp t="e">
        <v>#N/A</v>
        <stp/>
        <stp>FWRC1#GBPUSD#Month Wise Rates#0#S#PillarDate0</stp>
        <tr r="A735" s="1"/>
      </tp>
      <tp t="e">
        <v>#N/A</v>
        <stp/>
        <stp>FWRC1#GBPUSD#Month Wise Rates#0#S#PillarDate7</stp>
        <tr r="A686" s="1"/>
      </tp>
      <tp t="e">
        <v>#N/A</v>
        <stp/>
        <stp>FWRC1#GBPUSD#Month Wise Rates#0#S#PillarDate8</stp>
        <tr r="A690" s="1"/>
      </tp>
      <tp t="e">
        <v>#N/A</v>
        <stp/>
        <stp>FWRC1#GBPUSD#Month Wise Rates#0#S#PillarDate9</stp>
        <tr r="A694" s="1"/>
      </tp>
      <tp t="e">
        <v>#N/A</v>
        <stp/>
        <stp>FWRC1#USDJPY#Month Wise Rates#0#S#Desc.8</stp>
        <tr r="A770" s="1"/>
      </tp>
      <tp t="e">
        <v>#N/A</v>
        <stp/>
        <stp>FWRC1#USDJPY#Month Wise Rates#0#S#Desc.9</stp>
        <tr r="A774" s="1"/>
      </tp>
      <tp t="e">
        <v>#N/A</v>
        <stp/>
        <stp>FWRC1#USDJPY#Month Wise Rates#0#S#Desc.7</stp>
        <tr r="A766" s="1"/>
      </tp>
      <tp t="e">
        <v>#N/A</v>
        <stp/>
        <stp>FWRC1#USDJPY#Month Wise Rates#0#S#Desc.2</stp>
        <tr r="A762" s="1"/>
      </tp>
      <tp t="e">
        <v>#N/A</v>
        <stp/>
        <stp>12#2#1#6069#SUSDPHP#Low</stp>
        <tr r="A157" s="1"/>
      </tp>
      <tp t="e">
        <v>#N/A</v>
        <stp/>
        <stp>17#3#1#6031#GBPINRCOMP#Ask</stp>
        <tr r="A495" s="1"/>
        <tr r="A8" s="1"/>
      </tp>
      <tp t="e">
        <v>#N/A</v>
        <stp/>
        <stp>17#3#1#5949#EURINRCOMP#Bid</stp>
        <tr r="A416" s="1"/>
        <tr r="A3" s="1"/>
      </tp>
      <tp t="e">
        <v>#N/A</v>
        <stp/>
        <stp>17#3#1#5978#JPYINRCOMP#Bid</stp>
        <tr r="A573" s="1"/>
        <tr r="A5" s="1"/>
      </tp>
      <tp t="e">
        <v>#N/A</v>
        <stp/>
        <stp>12#2#1#5949#SEURUSD#Ask</stp>
        <tr r="A77" s="1"/>
      </tp>
      <tp t="e">
        <v>#N/A</v>
        <stp/>
        <stp>12#2#1#5903#SAUDUSD#Ask</stp>
        <tr r="A80" s="1"/>
      </tp>
      <tp t="e">
        <v>#N/A</v>
        <stp/>
        <stp>12#2#1#6069#SUSDPHP#%Chg</stp>
        <tr r="A139" s="1"/>
      </tp>
      <tp t="e">
        <v>#N/A</v>
        <stp/>
        <stp>12#2#1#6069#SUSDTHB#%Chg</stp>
        <tr r="A143" s="1"/>
      </tp>
      <tp t="e">
        <v>#N/A</v>
        <stp/>
        <stp>17#1#1#6069#USDINRCOMP#Bid</stp>
        <tr r="A2" s="1"/>
        <tr r="A263" s="1"/>
      </tp>
      <tp t="e">
        <v>#N/A</v>
        <stp/>
        <stp>12#2#1#6069#SUSDJPY#52WkHigh</stp>
        <tr r="A109" s="1"/>
      </tp>
      <tp t="e">
        <v>#N/A</v>
        <stp/>
        <stp>12#2#1#5978#SJPYINR#52WkHigh</stp>
        <tr r="A33" s="1"/>
      </tp>
      <tp t="e">
        <v>#N/A</v>
        <stp/>
        <stp>12#2#1#6069#SUSDHKD#%Chg</stp>
        <tr r="A136" s="1"/>
      </tp>
      <tp t="e">
        <v>#N/A</v>
        <stp/>
        <stp>12#2#1#5903#SAUDUSD#Bid</stp>
        <tr r="A75" s="1"/>
      </tp>
      <tp t="e">
        <v>#N/A</v>
        <stp/>
        <stp>12#2#1#5949#SEURUSD#Bid</stp>
        <tr r="A72" s="1"/>
      </tp>
      <tp t="e">
        <v>#N/A</v>
        <stp/>
        <stp>17#1#1#6069#USDINRCOMP#Ask</stp>
        <tr r="A264" s="1"/>
        <tr r="A6" s="1"/>
      </tp>
      <tp t="e">
        <v>#N/A</v>
        <stp/>
        <stp>FWRC1#JPYINR#Month Wise Rates#0#S#Desc.7</stp>
        <tr r="A525" s="1"/>
      </tp>
      <tp t="e">
        <v>#N/A</v>
        <stp/>
        <stp>FWRC1#JPYINR#Month Wise Rates#0#S#Desc.2</stp>
        <tr r="A521" s="1"/>
      </tp>
      <tp t="e">
        <v>#N/A</v>
        <stp/>
        <stp>FWRC1#JPYINR#Month Wise Rates#0#S#Desc.8</stp>
        <tr r="A529" s="1"/>
      </tp>
      <tp t="e">
        <v>#N/A</v>
        <stp/>
        <stp>FWRC1#JPYINR#Month Wise Rates#0#S#Desc.9</stp>
        <tr r="A533" s="1"/>
      </tp>
      <tp t="e">
        <v>#N/A</v>
        <stp/>
        <stp>FWRC1#GBPINR#Month Wise Rates#0#S#Desc.7</stp>
        <tr r="A446" s="1"/>
      </tp>
      <tp t="e">
        <v>#N/A</v>
        <stp/>
        <stp>FWRC1#GBPINR#Month Wise Rates#0#S#Desc.8</stp>
        <tr r="A450" s="1"/>
      </tp>
      <tp t="e">
        <v>#N/A</v>
        <stp/>
        <stp>FWRC1#GBPINR#Month Wise Rates#0#S#Desc.9</stp>
        <tr r="A454" s="1"/>
      </tp>
      <tp t="e">
        <v>#N/A</v>
        <stp/>
        <stp>FWRC1#EURINR#Month Wise Rates#0#S#Desc.7</stp>
        <tr r="A293" s="1"/>
        <tr r="A368" s="1"/>
      </tp>
      <tp t="e">
        <v>#N/A</v>
        <stp/>
        <stp>FWRC1#EURINR#Month Wise Rates#0#S#Desc.9</stp>
        <tr r="A376" s="1"/>
        <tr r="A301" s="1"/>
      </tp>
      <tp t="e">
        <v>#N/A</v>
        <stp/>
        <stp>FWRC1#EURINR#Month Wise Rates#0#S#Desc.8</stp>
        <tr r="A297" s="1"/>
        <tr r="A372" s="1"/>
      </tp>
      <tp t="e">
        <v>#N/A</v>
        <stp/>
        <stp>12#2#1#6069#SUSDSGD#Low</stp>
        <tr r="A153" s="1"/>
      </tp>
      <tp t="e">
        <v>#N/A</v>
        <stp/>
        <stp>17#3#1#5978#JPYINRCOMP#Ask</stp>
        <tr r="A574" s="1"/>
        <tr r="A9" s="1"/>
      </tp>
      <tp t="e">
        <v>#N/A</v>
        <stp/>
        <stp>17#3#1#5949#EURINRCOMP#Ask</stp>
        <tr r="A7" s="1"/>
        <tr r="A417" s="1"/>
      </tp>
      <tp t="e">
        <v>#N/A</v>
        <stp/>
        <stp>12#2#1#6069#SUSDKRW#52WkHigh</stp>
        <tr r="A183" s="1"/>
      </tp>
      <tp t="e">
        <v>#N/A</v>
        <stp/>
        <stp>17#3#1#6031#GBPINRCOMP#Bid</stp>
        <tr r="A494" s="1"/>
        <tr r="A4" s="1"/>
      </tp>
      <tp t="e">
        <v>#N/A</v>
        <stp/>
        <stp>42#1#1#6253#1#NetChg</stp>
        <tr r="A49" s="1"/>
      </tp>
      <tp t="e">
        <v>#N/A</v>
        <stp/>
        <stp>FWRC1#USDJPY#Month Wise Rates#0#S#PillarDate12</stp>
        <tr r="A787" s="1"/>
      </tp>
      <tp t="e">
        <v>#N/A</v>
        <stp/>
        <stp>FWRC1#USDJPY#Month Wise Rates#0#S#PillarDate13</stp>
        <tr r="A791" s="1"/>
      </tp>
      <tp t="e">
        <v>#N/A</v>
        <stp/>
        <stp>FWRC1#USDJPY#Month Wise Rates#0#S#PillarDate10</stp>
        <tr r="A779" s="1"/>
      </tp>
      <tp t="e">
        <v>#N/A</v>
        <stp/>
        <stp>FWRC1#USDJPY#Month Wise Rates#0#S#PillarDate11</stp>
        <tr r="A783" s="1"/>
      </tp>
      <tp t="e">
        <v>#N/A</v>
        <stp/>
        <stp>FWRC1#USDJPY#Month Wise Rates#0#S#PillarDate16</stp>
        <tr r="A803" s="1"/>
      </tp>
      <tp t="e">
        <v>#N/A</v>
        <stp/>
        <stp>FWRC1#USDJPY#Month Wise Rates#0#S#PillarDate17</stp>
        <tr r="A807" s="1"/>
      </tp>
      <tp t="e">
        <v>#N/A</v>
        <stp/>
        <stp>FWRC1#USDJPY#Month Wise Rates#0#S#PillarDate14</stp>
        <tr r="A795" s="1"/>
      </tp>
      <tp t="e">
        <v>#N/A</v>
        <stp/>
        <stp>FWRC1#USDJPY#Month Wise Rates#0#S#PillarDate15</stp>
        <tr r="A799" s="1"/>
      </tp>
      <tp t="e">
        <v>#N/A</v>
        <stp/>
        <stp>FWRC1#USDJPY#Month Wise Rates#0#S#PillarDate18</stp>
        <tr r="A811" s="1"/>
      </tp>
      <tp t="e">
        <v>#N/A</v>
        <stp/>
        <stp>12#2#1#6069#SUSDSGD#Open</stp>
        <tr r="A162" s="1"/>
      </tp>
      <tp t="e">
        <v>#N/A</v>
        <stp/>
        <stp>12#2#1#6069#SUSDMYR#Close</stp>
        <tr r="A178" s="1"/>
      </tp>
      <tp t="e">
        <v>#N/A</v>
        <stp/>
        <stp>12#2#1#6069#SUSDIDR#Close</stp>
        <tr r="A176" s="1"/>
      </tp>
      <tp t="e">
        <v>#N/A</v>
        <stp/>
        <stp>12#2#1#6031#SGBPUSD#Open</stp>
        <tr r="A98" s="1"/>
      </tp>
      <tp t="e">
        <v>#N/A</v>
        <stp/>
        <stp>12#2#1#6069#SUSDIDR#Open</stp>
        <tr r="A167" s="1"/>
      </tp>
      <tp t="e">
        <v>#N/A</v>
        <stp/>
        <stp>17#1#1#6069#USDINRCOMP#52WkLow</stp>
        <tr r="A34" s="1"/>
      </tp>
      <tp t="e">
        <v>#N/A</v>
        <stp/>
        <stp>FWRC1#USDINR#Month End Rates#0#AskPrice13</stp>
        <tr r="A254" s="1"/>
      </tp>
      <tp t="e">
        <v>#N/A</v>
        <stp/>
        <stp>FWRC1#USDINR#Month End Rates#0#AskPrice12</stp>
        <tr r="A250" s="1"/>
      </tp>
      <tp t="e">
        <v>#N/A</v>
        <stp/>
        <stp>FWRC1#USDINR#Month End Rates#0#AskPrice11</stp>
        <tr r="A246" s="1"/>
      </tp>
      <tp t="e">
        <v>#N/A</v>
        <stp/>
        <stp>FWRC1#USDINR#Month End Rates#0#AskPrice10</stp>
        <tr r="A242" s="1"/>
      </tp>
      <tp t="e">
        <v>#N/A</v>
        <stp/>
        <stp>FWRC1#USDINR#Month End Rates#0#AskPrice15</stp>
        <tr r="A262" s="1"/>
      </tp>
      <tp t="e">
        <v>#N/A</v>
        <stp/>
        <stp>FWRC1#USDINR#Month End Rates#0#AskPrice14</stp>
        <tr r="A258" s="1"/>
      </tp>
      <tp t="e">
        <v>#N/A</v>
        <stp/>
        <stp>FWRC1#USDINR#Month End Rates#0#BidPrice11</stp>
        <tr r="A245" s="1"/>
      </tp>
      <tp t="e">
        <v>#N/A</v>
        <stp/>
        <stp>FWRC1#USDINR#Month End Rates#0#BidPrice10</stp>
        <tr r="A241" s="1"/>
      </tp>
      <tp t="e">
        <v>#N/A</v>
        <stp/>
        <stp>FWRC1#USDINR#Month End Rates#0#BidPrice13</stp>
        <tr r="A253" s="1"/>
      </tp>
      <tp t="e">
        <v>#N/A</v>
        <stp/>
        <stp>FWRC1#USDINR#Month End Rates#0#BidPrice12</stp>
        <tr r="A249" s="1"/>
      </tp>
      <tp t="e">
        <v>#N/A</v>
        <stp/>
        <stp>FWRC1#USDINR#Month End Rates#0#BidPrice15</stp>
        <tr r="A261" s="1"/>
      </tp>
      <tp t="e">
        <v>#N/A</v>
        <stp/>
        <stp>FWRC1#USDINR#Month End Rates#0#BidPrice14</stp>
        <tr r="A257" s="1"/>
      </tp>
      <tp t="e">
        <v>#N/A</v>
        <stp/>
        <stp>12#2#1#6069#SUSDPHP#Close</stp>
        <tr r="A175" s="1"/>
      </tp>
      <tp t="e">
        <v>#N/A</v>
        <stp/>
        <stp>FWRC1#JPYINR#Month Wise Rates#0#S#Desc.10</stp>
        <tr r="A537" s="1"/>
      </tp>
      <tp t="e">
        <v>#N/A</v>
        <stp/>
        <stp>FWRC1#JPYINR#Month Wise Rates#0#S#Desc.11</stp>
        <tr r="A541" s="1"/>
      </tp>
      <tp t="e">
        <v>#N/A</v>
        <stp/>
        <stp>FWRC1#JPYINR#Month Wise Rates#0#S#Desc.12</stp>
        <tr r="A545" s="1"/>
      </tp>
      <tp t="e">
        <v>#N/A</v>
        <stp/>
        <stp>FWRC1#JPYINR#Month Wise Rates#0#S#Desc.13</stp>
        <tr r="A549" s="1"/>
      </tp>
      <tp t="e">
        <v>#N/A</v>
        <stp/>
        <stp>FWRC1#JPYINR#Month Wise Rates#0#S#Desc.14</stp>
        <tr r="A553" s="1"/>
      </tp>
      <tp t="e">
        <v>#N/A</v>
        <stp/>
        <stp>FWRC1#JPYINR#Month Wise Rates#0#S#Desc.15</stp>
        <tr r="A557" s="1"/>
      </tp>
      <tp t="e">
        <v>#N/A</v>
        <stp/>
        <stp>FWRC1#JPYINR#Month Wise Rates#0#S#Desc.16</stp>
        <tr r="A561" s="1"/>
      </tp>
      <tp t="e">
        <v>#N/A</v>
        <stp/>
        <stp>FWRC1#JPYINR#Month Wise Rates#0#S#Desc.17</stp>
        <tr r="A565" s="1"/>
      </tp>
      <tp t="e">
        <v>#N/A</v>
        <stp/>
        <stp>FWRC1#JPYINR#Month Wise Rates#0#S#Desc.18</stp>
        <tr r="A569" s="1"/>
      </tp>
      <tp t="e">
        <v>#N/A</v>
        <stp/>
        <stp>FWRC1#USDINR#Month End Rates#0#S#Desc.15</stp>
        <tr r="A259" s="1"/>
      </tp>
      <tp t="e">
        <v>#N/A</v>
        <stp/>
        <stp>FWRC1#USDINR#Month End Rates#0#S#Desc.14</stp>
        <tr r="A255" s="1"/>
      </tp>
      <tp t="e">
        <v>#N/A</v>
        <stp/>
        <stp>FWRC1#USDINR#Month End Rates#0#S#Desc.13</stp>
        <tr r="A251" s="1"/>
      </tp>
      <tp t="e">
        <v>#N/A</v>
        <stp/>
        <stp>FWRC1#USDINR#Month End Rates#0#S#Desc.12</stp>
        <tr r="A247" s="1"/>
      </tp>
      <tp t="e">
        <v>#N/A</v>
        <stp/>
        <stp>FWRC1#USDINR#Month End Rates#0#S#Desc.11</stp>
        <tr r="A243" s="1"/>
      </tp>
      <tp t="e">
        <v>#N/A</v>
        <stp/>
        <stp>FWRC1#USDINR#Month End Rates#0#S#Desc.10</stp>
        <tr r="A239" s="1"/>
      </tp>
      <tp t="e">
        <v>#N/A</v>
        <stp/>
        <stp>12#2#1#6069#SUSDKRW#Close</stp>
        <tr r="A174" s="1"/>
      </tp>
      <tp t="e">
        <v>#N/A</v>
        <stp/>
        <stp>42#4#1#6217#4#NetChg</stp>
        <tr r="A47" s="1"/>
      </tp>
      <tp t="e">
        <v>#N/A</v>
        <stp/>
        <stp>42#2#1#6219#2#NetChg</stp>
        <tr r="A46" s="1"/>
      </tp>
      <tp t="e">
        <v>#N/A</v>
        <stp/>
        <stp>FWRC1#EURINR#Month Wise Rates#1#Bid%9</stp>
        <tr r="A874" s="1"/>
        <tr r="A891" s="1"/>
        <tr r="A907" s="1"/>
      </tp>
      <tp t="e">
        <v>#N/A</v>
        <stp/>
        <stp>FWRC1#EURINR#Month Wise Rates#1#Bid%7</stp>
        <tr r="A873" s="1"/>
        <tr r="A890" s="1"/>
        <tr r="A906" s="1"/>
      </tp>
      <tp t="e">
        <v>#N/A</v>
        <stp/>
        <stp>42#36#1#6222#36#%Chg</stp>
        <tr r="A54" s="1"/>
      </tp>
      <tp t="e">
        <v>#N/A</v>
        <stp/>
        <stp>12#2#1#5903#SAUDUSD#52WkLow</stp>
        <tr r="A115" s="1"/>
      </tp>
      <tp t="e">
        <v>#N/A</v>
        <stp/>
        <stp>12#2#1#5949#SEURUSD#52WkLow</stp>
        <tr r="A112" s="1"/>
      </tp>
      <tp t="e">
        <v>#N/A</v>
        <stp/>
        <stp>FWRC1#USDJPY#Month Wise Rates#0#S#Desc.18</stp>
        <tr r="A810" s="1"/>
      </tp>
      <tp t="e">
        <v>#N/A</v>
        <stp/>
        <stp>FWRC1#USDJPY#Month Wise Rates#0#S#Desc.15</stp>
        <tr r="A798" s="1"/>
      </tp>
      <tp t="e">
        <v>#N/A</v>
        <stp/>
        <stp>FWRC1#USDJPY#Month Wise Rates#0#S#Desc.14</stp>
        <tr r="A794" s="1"/>
      </tp>
      <tp t="e">
        <v>#N/A</v>
        <stp/>
        <stp>FWRC1#USDJPY#Month Wise Rates#0#S#Desc.17</stp>
        <tr r="A806" s="1"/>
      </tp>
      <tp t="e">
        <v>#N/A</v>
        <stp/>
        <stp>FWRC1#USDJPY#Month Wise Rates#0#S#Desc.16</stp>
        <tr r="A802" s="1"/>
      </tp>
      <tp t="e">
        <v>#N/A</v>
        <stp/>
        <stp>FWRC1#USDJPY#Month Wise Rates#0#S#Desc.11</stp>
        <tr r="A782" s="1"/>
      </tp>
      <tp t="e">
        <v>#N/A</v>
        <stp/>
        <stp>FWRC1#USDJPY#Month Wise Rates#0#S#Desc.10</stp>
        <tr r="A778" s="1"/>
      </tp>
      <tp t="e">
        <v>#N/A</v>
        <stp/>
        <stp>FWRC1#USDJPY#Month Wise Rates#0#S#Desc.13</stp>
        <tr r="A790" s="1"/>
      </tp>
      <tp t="e">
        <v>#N/A</v>
        <stp/>
        <stp>FWRC1#USDJPY#Month Wise Rates#0#S#Desc.12</stp>
        <tr r="A786" s="1"/>
      </tp>
      <tp t="e">
        <v>#N/A</v>
        <stp/>
        <stp>12#2#1#6069#SUSDMYR#High</stp>
        <tr r="A151" s="1"/>
      </tp>
      <tp t="e">
        <v>#N/A</v>
        <stp/>
        <stp>FWRC1#USDINR#Month End Rates#0#FwdOutrightAsk8</stp>
        <tr r="A275" s="1"/>
      </tp>
      <tp t="e">
        <v>#N/A</v>
        <stp/>
        <stp>FWRC1#USDINR#Month End Rates#0#FwdOutrightAsk9</stp>
        <tr r="A277" s="1"/>
      </tp>
      <tp t="e">
        <v>#N/A</v>
        <stp/>
        <stp>FWRC1#USDINR#Month End Rates#0#FwdOutrightAsk4</stp>
        <tr r="A267" s="1"/>
      </tp>
      <tp t="e">
        <v>#N/A</v>
        <stp/>
        <stp>FWRC1#USDINR#Month End Rates#0#FwdOutrightAsk5</stp>
        <tr r="A269" s="1"/>
      </tp>
      <tp t="e">
        <v>#N/A</v>
        <stp/>
        <stp>FWRC1#USDINR#Month End Rates#0#FwdOutrightAsk6</stp>
        <tr r="A271" s="1"/>
      </tp>
      <tp t="e">
        <v>#N/A</v>
        <stp/>
        <stp>FWRC1#USDINR#Month End Rates#0#FwdOutrightAsk7</stp>
        <tr r="A273" s="1"/>
      </tp>
      <tp t="e">
        <v>#N/A</v>
        <stp/>
        <stp>FWRC1#GBPINR#Month Wise Rates#1#Bid%7</stp>
        <tr r="A877" s="1"/>
        <tr r="A894" s="1"/>
        <tr r="A910" s="1"/>
      </tp>
      <tp t="e">
        <v>#N/A</v>
        <stp/>
        <stp>FWRC1#USDINR#Month End Rates#0#S#MonthEndDate9</stp>
        <tr r="A236" s="1"/>
      </tp>
      <tp t="e">
        <v>#N/A</v>
        <stp/>
        <stp>FWRC1#USDINR#Month End Rates#0#S#MonthEndDate8</stp>
        <tr r="A232" s="1"/>
      </tp>
      <tp t="e">
        <v>#N/A</v>
        <stp/>
        <stp>FWRC1#USDINR#Month End Rates#0#S#MonthEndDate7</stp>
        <tr r="A228" s="1"/>
      </tp>
      <tp t="e">
        <v>#N/A</v>
        <stp/>
        <stp>FWRC1#USDINR#Month End Rates#0#S#MonthEndDate6</stp>
        <tr r="A224" s="1"/>
      </tp>
      <tp t="e">
        <v>#N/A</v>
        <stp/>
        <stp>FWRC1#USDINR#Month End Rates#0#S#MonthEndDate5</stp>
        <tr r="A220" s="1"/>
      </tp>
      <tp t="e">
        <v>#N/A</v>
        <stp/>
        <stp>FWRC1#USDINR#Month End Rates#0#S#MonthEndDate4</stp>
        <tr r="A216" s="1"/>
      </tp>
      <tp t="e">
        <v>#N/A</v>
        <stp/>
        <stp>FWRC1#USDINR#Month End Rates#0#S#MonthEndDate2</stp>
        <tr r="A212" s="1"/>
        <tr r="A290" s="1"/>
      </tp>
      <tp t="e">
        <v>#N/A</v>
        <stp/>
        <stp>FWRC1#USDINR#Month End Rates#0#S#MonthEndDate0</stp>
        <tr r="A265" s="1"/>
      </tp>
      <tp t="e">
        <v>#N/A</v>
        <stp/>
        <stp>12#2#1#5903#SAUDUSD#Open</stp>
        <tr r="A100" s="1"/>
      </tp>
      <tp t="e">
        <v>#N/A</v>
        <stp/>
        <stp>12#2#1#5949#SEURUSD#Open</stp>
        <tr r="A97" s="1"/>
      </tp>
      <tp t="e">
        <v>#N/A</v>
        <stp/>
        <stp>12#2#1#6069#SUSDCAD#Open</stp>
        <tr r="A101" s="1"/>
      </tp>
      <tp t="e">
        <v>#N/A</v>
        <stp/>
        <stp>12#2#1#6069#SUSDCNY#Open</stp>
        <tr r="A168" s="1"/>
      </tp>
      <tp t="e">
        <v>#N/A</v>
        <stp/>
        <stp>12#2#1#6069#SUSDTWD#High</stp>
        <tr r="A146" s="1"/>
      </tp>
      <tp t="e">
        <v>#N/A</v>
        <stp/>
        <stp>12#2#1#6069#SUSDPHP#52WkLow</stp>
        <tr r="A193" s="1"/>
      </tp>
      <tp t="e">
        <v>#N/A</v>
        <stp/>
        <stp>FWRC1#JPYINR#Month Wise Rates#0#S#PillarDate11</stp>
        <tr r="A542" s="1"/>
      </tp>
      <tp t="e">
        <v>#N/A</v>
        <stp/>
        <stp>FWRC1#JPYINR#Month Wise Rates#0#S#PillarDate10</stp>
        <tr r="A538" s="1"/>
      </tp>
      <tp t="e">
        <v>#N/A</v>
        <stp/>
        <stp>FWRC1#JPYINR#Month Wise Rates#0#S#PillarDate13</stp>
        <tr r="A550" s="1"/>
      </tp>
      <tp t="e">
        <v>#N/A</v>
        <stp/>
        <stp>FWRC1#JPYINR#Month Wise Rates#0#S#PillarDate12</stp>
        <tr r="A546" s="1"/>
      </tp>
      <tp t="e">
        <v>#N/A</v>
        <stp/>
        <stp>FWRC1#JPYINR#Month Wise Rates#0#S#PillarDate15</stp>
        <tr r="A558" s="1"/>
      </tp>
      <tp t="e">
        <v>#N/A</v>
        <stp/>
        <stp>FWRC1#JPYINR#Month Wise Rates#0#S#PillarDate14</stp>
        <tr r="A554" s="1"/>
      </tp>
      <tp t="e">
        <v>#N/A</v>
        <stp/>
        <stp>FWRC1#JPYINR#Month Wise Rates#0#S#PillarDate17</stp>
        <tr r="A566" s="1"/>
      </tp>
      <tp t="e">
        <v>#N/A</v>
        <stp/>
        <stp>FWRC1#JPYINR#Month Wise Rates#0#S#PillarDate16</stp>
        <tr r="A562" s="1"/>
      </tp>
      <tp t="e">
        <v>#N/A</v>
        <stp/>
        <stp>FWRC1#JPYINR#Month Wise Rates#0#S#PillarDate18</stp>
        <tr r="A570" s="1"/>
      </tp>
      <tp t="e">
        <v>#N/A</v>
        <stp/>
        <stp>FWRC1#GBPINR#Month Wise Rates#0#S#Desc.18</stp>
        <tr r="A490" s="1"/>
      </tp>
      <tp t="e">
        <v>#N/A</v>
        <stp/>
        <stp>FWRC1#GBPINR#Month Wise Rates#0#S#Desc.11</stp>
        <tr r="A462" s="1"/>
      </tp>
      <tp t="e">
        <v>#N/A</v>
        <stp/>
        <stp>FWRC1#GBPINR#Month Wise Rates#0#S#Desc.10</stp>
        <tr r="A458" s="1"/>
      </tp>
      <tp t="e">
        <v>#N/A</v>
        <stp/>
        <stp>FWRC1#GBPINR#Month Wise Rates#0#S#Desc.13</stp>
        <tr r="A470" s="1"/>
      </tp>
      <tp t="e">
        <v>#N/A</v>
        <stp/>
        <stp>FWRC1#GBPINR#Month Wise Rates#0#S#Desc.12</stp>
        <tr r="A466" s="1"/>
      </tp>
      <tp t="e">
        <v>#N/A</v>
        <stp/>
        <stp>FWRC1#GBPINR#Month Wise Rates#0#S#Desc.15</stp>
        <tr r="A478" s="1"/>
      </tp>
      <tp t="e">
        <v>#N/A</v>
        <stp/>
        <stp>FWRC1#GBPINR#Month Wise Rates#0#S#Desc.14</stp>
        <tr r="A474" s="1"/>
      </tp>
      <tp t="e">
        <v>#N/A</v>
        <stp/>
        <stp>FWRC1#GBPINR#Month Wise Rates#0#S#Desc.17</stp>
        <tr r="A486" s="1"/>
      </tp>
      <tp t="e">
        <v>#N/A</v>
        <stp/>
        <stp>FWRC1#GBPINR#Month Wise Rates#0#S#Desc.16</stp>
        <tr r="A482" s="1"/>
      </tp>
      <tp t="e">
        <v>#N/A</v>
        <stp/>
        <stp>12#2#1#6069#SUSDSGD#52WkLow</stp>
        <tr r="A189" s="1"/>
      </tp>
      <tp t="e">
        <v>#N/A</v>
        <stp/>
        <stp>42#36#1#6222#36#LTP</stp>
        <tr r="A42" s="1"/>
      </tp>
      <tp t="e">
        <v>#N/A</v>
        <stp/>
        <stp>12#2#1#6069#SUSDCNY#Close</stp>
        <tr r="A177" s="1"/>
      </tp>
      <tp t="e">
        <v>#N/A</v>
        <stp/>
        <stp>12#2#1#6069#SUSDJPY#Close</stp>
        <tr r="A104" s="1"/>
      </tp>
      <tp t="e">
        <v>#N/A</v>
        <stp/>
        <stp>FWRC1#EURINR#Month Wise Rates#0#S#Desc.18</stp>
        <tr r="A412" s="1"/>
        <tr r="A337" s="1"/>
      </tp>
      <tp t="e">
        <v>#N/A</v>
        <stp/>
        <stp>FWRC1#EURINR#Month Wise Rates#0#S#Desc.13</stp>
        <tr r="A392" s="1"/>
        <tr r="A317" s="1"/>
      </tp>
      <tp t="e">
        <v>#N/A</v>
        <stp/>
        <stp>FWRC1#EURINR#Month Wise Rates#0#S#Desc.12</stp>
        <tr r="A313" s="1"/>
        <tr r="A388" s="1"/>
      </tp>
      <tp t="e">
        <v>#N/A</v>
        <stp/>
        <stp>FWRC1#EURINR#Month Wise Rates#0#S#Desc.11</stp>
        <tr r="A309" s="1"/>
        <tr r="A384" s="1"/>
      </tp>
      <tp t="e">
        <v>#N/A</v>
        <stp/>
        <stp>FWRC1#EURINR#Month Wise Rates#0#S#Desc.10</stp>
        <tr r="A380" s="1"/>
        <tr r="A305" s="1"/>
      </tp>
      <tp t="e">
        <v>#N/A</v>
        <stp/>
        <stp>FWRC1#EURINR#Month Wise Rates#0#S#Desc.17</stp>
        <tr r="A333" s="1"/>
        <tr r="A408" s="1"/>
      </tp>
      <tp t="e">
        <v>#N/A</v>
        <stp/>
        <stp>FWRC1#EURINR#Month Wise Rates#0#S#Desc.16</stp>
        <tr r="A329" s="1"/>
        <tr r="A404" s="1"/>
      </tp>
      <tp t="e">
        <v>#N/A</v>
        <stp/>
        <stp>FWRC1#EURINR#Month Wise Rates#0#S#Desc.15</stp>
        <tr r="A325" s="1"/>
        <tr r="A400" s="1"/>
      </tp>
      <tp t="e">
        <v>#N/A</v>
        <stp/>
        <stp>FWRC1#EURINR#Month Wise Rates#0#S#Desc.14</stp>
        <tr r="A396" s="1"/>
        <tr r="A321" s="1"/>
      </tp>
      <tp t="e">
        <v>#N/A</v>
        <stp/>
        <stp>FWRC1#JPYINR#Month Wise Rates#1#Bid%8</stp>
        <tr r="A881" s="1"/>
        <tr r="A898" s="1"/>
        <tr r="A914" s="1"/>
      </tp>
      <tp t="e">
        <v>#N/A</v>
        <stp/>
        <stp>FWRC1#JPYINR#Month Wise Rates#1#Bid%9</stp>
        <tr r="A882" s="1"/>
        <tr r="A899" s="1"/>
        <tr r="A915" s="1"/>
      </tp>
      <tp t="e">
        <v>#N/A</v>
        <stp/>
        <stp>FWRC1#EURINR#Month Wise Rates#0#S#PillarDate11</stp>
        <tr r="A310" s="1"/>
        <tr r="A385" s="1"/>
      </tp>
      <tp t="e">
        <v>#N/A</v>
        <stp/>
        <stp>FWRC1#EURINR#Month Wise Rates#0#S#PillarDate10</stp>
        <tr r="A306" s="1"/>
        <tr r="A381" s="1"/>
      </tp>
      <tp t="e">
        <v>#N/A</v>
        <stp/>
        <stp>FWRC1#EURINR#Month Wise Rates#0#S#PillarDate13</stp>
        <tr r="A318" s="1"/>
        <tr r="A393" s="1"/>
      </tp>
      <tp t="e">
        <v>#N/A</v>
        <stp/>
        <stp>FWRC1#EURINR#Month Wise Rates#0#S#PillarDate12</stp>
        <tr r="A314" s="1"/>
        <tr r="A389" s="1"/>
      </tp>
      <tp t="e">
        <v>#N/A</v>
        <stp/>
        <stp>FWRC1#EURINR#Month Wise Rates#0#S#PillarDate15</stp>
        <tr r="A326" s="1"/>
        <tr r="A401" s="1"/>
      </tp>
      <tp t="e">
        <v>#N/A</v>
        <stp/>
        <stp>FWRC1#EURINR#Month Wise Rates#0#S#PillarDate14</stp>
        <tr r="A322" s="1"/>
        <tr r="A397" s="1"/>
      </tp>
      <tp t="e">
        <v>#N/A</v>
        <stp/>
        <stp>FWRC1#EURINR#Month Wise Rates#0#S#PillarDate17</stp>
        <tr r="A409" s="1"/>
        <tr r="A334" s="1"/>
      </tp>
      <tp t="e">
        <v>#N/A</v>
        <stp/>
        <stp>FWRC1#EURINR#Month Wise Rates#0#S#PillarDate16</stp>
        <tr r="A405" s="1"/>
        <tr r="A330" s="1"/>
      </tp>
      <tp t="e">
        <v>#N/A</v>
        <stp/>
        <stp>FWRC1#EURINR#Month Wise Rates#0#S#PillarDate18</stp>
        <tr r="A338" s="1"/>
        <tr r="A413" s="1"/>
      </tp>
      <tp t="e">
        <v>#N/A</v>
        <stp/>
        <stp>12#2#1#6031#SGBPUSD#52WkLow</stp>
        <tr r="A113" s="1"/>
      </tp>
      <tp t="e">
        <v>#N/A</v>
        <stp/>
        <stp>FWRC1#GBPUSD#Month Wise Rates#0#S#PillarDate18</stp>
        <tr r="A730" s="1"/>
      </tp>
      <tp t="e">
        <v>#N/A</v>
        <stp/>
        <stp>FWRC1#GBPUSD#Month Wise Rates#0#S#PillarDate15</stp>
        <tr r="A718" s="1"/>
      </tp>
      <tp t="e">
        <v>#N/A</v>
        <stp/>
        <stp>FWRC1#GBPUSD#Month Wise Rates#0#S#PillarDate14</stp>
        <tr r="A714" s="1"/>
      </tp>
      <tp t="e">
        <v>#N/A</v>
        <stp/>
        <stp>FWRC1#GBPUSD#Month Wise Rates#0#S#PillarDate17</stp>
        <tr r="A726" s="1"/>
      </tp>
      <tp t="e">
        <v>#N/A</v>
        <stp/>
        <stp>FWRC1#GBPUSD#Month Wise Rates#0#S#PillarDate16</stp>
        <tr r="A722" s="1"/>
      </tp>
      <tp t="e">
        <v>#N/A</v>
        <stp/>
        <stp>FWRC1#GBPUSD#Month Wise Rates#0#S#PillarDate11</stp>
        <tr r="A702" s="1"/>
      </tp>
      <tp t="e">
        <v>#N/A</v>
        <stp/>
        <stp>FWRC1#GBPUSD#Month Wise Rates#0#S#PillarDate10</stp>
        <tr r="A698" s="1"/>
      </tp>
      <tp t="e">
        <v>#N/A</v>
        <stp/>
        <stp>FWRC1#GBPUSD#Month Wise Rates#0#S#PillarDate13</stp>
        <tr r="A710" s="1"/>
      </tp>
      <tp t="e">
        <v>#N/A</v>
        <stp/>
        <stp>FWRC1#GBPUSD#Month Wise Rates#0#S#PillarDate12</stp>
        <tr r="A706" s="1"/>
      </tp>
      <tp t="e">
        <v>#N/A</v>
        <stp/>
        <stp>12#2#1#6069#SUSDTHB#52WkLow</stp>
        <tr r="A197" s="1"/>
      </tp>
      <tp t="e">
        <v>#N/A</v>
        <stp/>
        <stp>12#2#1#6069#SUSDTWD#52WkLow</stp>
        <tr r="A191" s="1"/>
      </tp>
      <tp t="e">
        <v>#N/A</v>
        <stp/>
        <stp>12#2#1#6069#SUSDKRW#High</stp>
        <tr r="A147" s="1"/>
      </tp>
      <tp t="e">
        <v>#N/A</v>
        <stp/>
        <stp>12#2#1#6069#SUSDHKD#Open</stp>
        <tr r="A163" s="1"/>
      </tp>
      <tp t="e">
        <v>#N/A</v>
        <stp/>
        <stp>12#2#1#6069#SUSDPHP#Open</stp>
        <tr r="A166" s="1"/>
      </tp>
      <tp t="e">
        <v>#N/A</v>
        <stp/>
        <stp>12#2#1#6069#SUSDTHB#Open</stp>
        <tr r="A170" s="1"/>
      </tp>
      <tp t="e">
        <v>#N/A</v>
        <stp/>
        <stp>12#2#1#6031#SGBPUSD#Close</stp>
        <tr r="A103" s="1"/>
      </tp>
      <tp t="e">
        <v>#N/A</v>
        <stp/>
        <stp>12#2#1#6069#SUSDJPY#High</stp>
        <tr r="A89" s="1"/>
      </tp>
      <tp t="e">
        <v>#N/A</v>
        <stp/>
        <stp>12#2#1#6069#SUSDIDR#52WkLow</stp>
        <tr r="A194" s="1"/>
      </tp>
      <tp t="e">
        <v>#N/A</v>
        <stp/>
        <stp>12#2#1#6031#SGBPINR#52WkLow</stp>
        <tr r="A36" s="1"/>
      </tp>
      <tp t="e">
        <v>#N/A</v>
        <stp/>
        <stp>12#2#1#6069#SUSDHKD#52WkLow</stp>
        <tr r="A190" s="1"/>
      </tp>
      <tp t="e">
        <v>#N/A</v>
        <stp/>
        <stp>12#2#1#6069#SUSDCNY#High</stp>
        <tr r="A150" s="1"/>
      </tp>
      <tp t="e">
        <v>#N/A</v>
        <stp/>
        <stp>12#2#1#6069#SUSDTWD#Open</stp>
        <tr r="A164" s="1"/>
      </tp>
      <tp t="e">
        <v>#N/A</v>
        <stp/>
        <stp>35#1#1#6031#FUTCUR#N3#0#XX#Bid</stp>
        <tr r="A859" s="1"/>
      </tp>
      <tp t="e">
        <v>#N/A</v>
        <stp/>
        <stp>35#1#1#6069#FUTCUR#N3#0#XX#Bid</stp>
        <tr r="A847" s="1"/>
      </tp>
      <tp t="e">
        <v>#N/A</v>
        <stp/>
        <stp>35#1#1#6031#FUTCUR#N2#0#XX#Bid</stp>
        <tr r="A858" s="1"/>
      </tp>
      <tp t="e">
        <v>#N/A</v>
        <stp/>
        <stp>35#1#1#6069#FUTCUR#N2#0#XX#Bid</stp>
        <tr r="A846" s="1"/>
      </tp>
      <tp t="e">
        <v>#N/A</v>
        <stp/>
        <stp>35#1#1#6031#FUTCUR#N1#0#XX#Bid</stp>
        <tr r="A857" s="1"/>
      </tp>
      <tp t="e">
        <v>#N/A</v>
        <stp/>
        <stp>35#1#1#6069#FUTCUR#N1#0#XX#Bid</stp>
        <tr r="A206" s="1"/>
        <tr r="A845" s="1"/>
      </tp>
      <tp t="e">
        <v>#N/A</v>
        <stp/>
        <stp>12#2#1#6069#SUSDTHB#Close</stp>
        <tr r="A179" s="1"/>
      </tp>
      <tp t="e">
        <v>#N/A</v>
        <stp/>
        <stp>35#1#1#5949#FUTCUR#N1#0#XX#Ask</stp>
        <tr r="A854" s="1"/>
      </tp>
      <tp t="e">
        <v>#N/A</v>
        <stp/>
        <stp>35#1#1#5978#FUTCUR#N1#0#XX#Ask</stp>
        <tr r="A866" s="1"/>
      </tp>
      <tp t="e">
        <v>#N/A</v>
        <stp/>
        <stp>35#1#1#5949#FUTCUR#N2#0#XX#Ask</stp>
        <tr r="A855" s="1"/>
      </tp>
      <tp t="e">
        <v>#N/A</v>
        <stp/>
        <stp>35#1#1#5978#FUTCUR#N2#0#XX#Ask</stp>
        <tr r="A867" s="1"/>
      </tp>
      <tp t="e">
        <v>#N/A</v>
        <stp/>
        <stp>35#1#1#5949#FUTCUR#N3#0#XX#Ask</stp>
        <tr r="A856" s="1"/>
      </tp>
      <tp t="e">
        <v>#N/A</v>
        <stp/>
        <stp>35#1#1#5978#FUTCUR#N3#0#XX#Ask</stp>
        <tr r="A868" s="1"/>
      </tp>
      <tp t="e">
        <v>#N/A</v>
        <stp/>
        <stp>12#2#1#5949#SEURUSD#Close</stp>
        <tr r="A102" s="1"/>
      </tp>
      <tp t="e">
        <v>#N/A</v>
        <stp/>
        <stp>12#2#1#6069#SUSDKRW#52WkLow</stp>
        <tr r="A192" s="1"/>
      </tp>
      <tp t="e">
        <v>#N/A</v>
        <stp/>
        <stp>35#1#1#5978#FUTCUR#N2#0#XX#Bid</stp>
        <tr r="A864" s="1"/>
      </tp>
      <tp t="e">
        <v>#N/A</v>
        <stp/>
        <stp>35#1#1#5949#FUTCUR#N2#0#XX#Bid</stp>
        <tr r="A852" s="1"/>
      </tp>
      <tp t="e">
        <v>#N/A</v>
        <stp/>
        <stp>35#1#1#5978#FUTCUR#N3#0#XX#Bid</stp>
        <tr r="A865" s="1"/>
      </tp>
      <tp t="e">
        <v>#N/A</v>
        <stp/>
        <stp>35#1#1#5949#FUTCUR#N3#0#XX#Bid</stp>
        <tr r="A853" s="1"/>
      </tp>
      <tp t="e">
        <v>#N/A</v>
        <stp/>
        <stp>35#1#1#5978#FUTCUR#N1#0#XX#Bid</stp>
        <tr r="A863" s="1"/>
      </tp>
      <tp t="e">
        <v>#N/A</v>
        <stp/>
        <stp>35#1#1#5949#FUTCUR#N1#0#XX#Bid</stp>
        <tr r="A851" s="1"/>
      </tp>
      <tp t="e">
        <v>#N/A</v>
        <stp/>
        <stp>35#1#1#6069#FUTCUR#N1#0#XX#Ask</stp>
        <tr r="A848" s="1"/>
        <tr r="A209" s="1"/>
      </tp>
      <tp t="e">
        <v>#N/A</v>
        <stp/>
        <stp>35#1#1#6031#FUTCUR#N1#0#XX#Ask</stp>
        <tr r="A860" s="1"/>
      </tp>
      <tp t="e">
        <v>#N/A</v>
        <stp/>
        <stp>35#1#1#6069#FUTCUR#N3#0#XX#Ask</stp>
        <tr r="A850" s="1"/>
      </tp>
      <tp t="e">
        <v>#N/A</v>
        <stp/>
        <stp>35#1#1#6031#FUTCUR#N3#0#XX#Ask</stp>
        <tr r="A862" s="1"/>
      </tp>
      <tp t="e">
        <v>#N/A</v>
        <stp/>
        <stp>35#1#1#6069#FUTCUR#N2#0#XX#Ask</stp>
        <tr r="A849" s="1"/>
      </tp>
      <tp t="e">
        <v>#N/A</v>
        <stp/>
        <stp>35#1#1#6031#FUTCUR#N2#0#XX#Ask</stp>
        <tr r="A861" s="1"/>
      </tp>
      <tp t="e">
        <v>#N/A</v>
        <stp/>
        <stp>4#1#2#3556#LTP</stp>
        <tr r="A39" s="1"/>
      </tp>
      <tp t="e">
        <v>#N/A</v>
        <stp/>
        <stp>12#2#1#6069#SUSDJPY#52WkLow</stp>
        <tr r="A114" s="1"/>
      </tp>
      <tp t="e">
        <v>#N/A</v>
        <stp/>
        <stp>42#36#1#6222#36#NetChg</stp>
        <tr r="A48" s="1"/>
      </tp>
      <tp t="e">
        <v>#N/A</v>
        <stp/>
        <stp>FWRC1#GBPUSD#Month Wise Rates#0#S#Desc.18</stp>
        <tr r="A729" s="1"/>
      </tp>
      <tp t="e">
        <v>#N/A</v>
        <stp/>
        <stp>FWRC1#GBPUSD#Month Wise Rates#0#S#Desc.11</stp>
        <tr r="A701" s="1"/>
      </tp>
      <tp t="e">
        <v>#N/A</v>
        <stp/>
        <stp>FWRC1#GBPUSD#Month Wise Rates#0#S#Desc.10</stp>
        <tr r="A697" s="1"/>
      </tp>
      <tp t="e">
        <v>#N/A</v>
        <stp/>
        <stp>FWRC1#GBPUSD#Month Wise Rates#0#S#Desc.13</stp>
        <tr r="A709" s="1"/>
      </tp>
      <tp t="e">
        <v>#N/A</v>
        <stp/>
        <stp>FWRC1#GBPUSD#Month Wise Rates#0#S#Desc.12</stp>
        <tr r="A705" s="1"/>
      </tp>
      <tp t="e">
        <v>#N/A</v>
        <stp/>
        <stp>FWRC1#GBPUSD#Month Wise Rates#0#S#Desc.15</stp>
        <tr r="A717" s="1"/>
      </tp>
      <tp t="e">
        <v>#N/A</v>
        <stp/>
        <stp>FWRC1#GBPUSD#Month Wise Rates#0#S#Desc.14</stp>
        <tr r="A713" s="1"/>
      </tp>
      <tp t="e">
        <v>#N/A</v>
        <stp/>
        <stp>FWRC1#GBPUSD#Month Wise Rates#0#S#Desc.17</stp>
        <tr r="A725" s="1"/>
      </tp>
      <tp t="e">
        <v>#N/A</v>
        <stp/>
        <stp>FWRC1#GBPUSD#Month Wise Rates#0#S#Desc.16</stp>
        <tr r="A721" s="1"/>
      </tp>
      <tp t="e">
        <v>#N/A</v>
        <stp/>
        <stp>12#2#1#6069#SUSDMYR#52WkLow</stp>
        <tr r="A196" s="1"/>
      </tp>
      <tp t="e">
        <v>#N/A</v>
        <stp/>
        <stp>12#2#1#6069#SUSDKRW#Open</stp>
        <tr r="A165" s="1"/>
      </tp>
      <tp t="e">
        <v>#N/A</v>
        <stp/>
        <stp>12#2#1#6069#SUSDHKD#High</stp>
        <tr r="A145" s="1"/>
      </tp>
      <tp t="e">
        <v>#N/A</v>
        <stp/>
        <stp>FWRC1#USDINR#Month Wise Rates#1#Bid%9</stp>
        <tr r="A870" s="1"/>
        <tr r="A886" s="1"/>
        <tr r="A903" s="1"/>
      </tp>
      <tp t="e">
        <v>#N/A</v>
        <stp/>
        <stp>FWRC1#USDINR#Month Wise Rates#1#Bid%7</stp>
        <tr r="A869" s="1"/>
        <tr r="A885" s="1"/>
        <tr r="A902" s="1"/>
      </tp>
      <tp t="e">
        <v>#N/A</v>
        <stp/>
        <stp>FWRC1#EURUSD#Month Wise Rates#0#S#Desc.18</stp>
        <tr r="A648" s="1"/>
      </tp>
      <tp t="e">
        <v>#N/A</v>
        <stp/>
        <stp>FWRC1#EURUSD#Month Wise Rates#0#S#Desc.13</stp>
        <tr r="A628" s="1"/>
      </tp>
      <tp t="e">
        <v>#N/A</v>
        <stp/>
        <stp>FWRC1#EURUSD#Month Wise Rates#0#S#Desc.12</stp>
        <tr r="A624" s="1"/>
      </tp>
      <tp t="e">
        <v>#N/A</v>
        <stp/>
        <stp>FWRC1#EURUSD#Month Wise Rates#0#S#Desc.11</stp>
        <tr r="A620" s="1"/>
      </tp>
      <tp t="e">
        <v>#N/A</v>
        <stp/>
        <stp>FWRC1#EURUSD#Month Wise Rates#0#S#Desc.10</stp>
        <tr r="A616" s="1"/>
      </tp>
      <tp t="e">
        <v>#N/A</v>
        <stp/>
        <stp>FWRC1#EURUSD#Month Wise Rates#0#S#Desc.17</stp>
        <tr r="A644" s="1"/>
      </tp>
      <tp t="e">
        <v>#N/A</v>
        <stp/>
        <stp>FWRC1#EURUSD#Month Wise Rates#0#S#Desc.16</stp>
        <tr r="A640" s="1"/>
      </tp>
      <tp t="e">
        <v>#N/A</v>
        <stp/>
        <stp>FWRC1#EURUSD#Month Wise Rates#0#S#Desc.15</stp>
        <tr r="A636" s="1"/>
      </tp>
      <tp t="e">
        <v>#N/A</v>
        <stp/>
        <stp>FWRC1#EURUSD#Month Wise Rates#0#S#Desc.14</stp>
        <tr r="A632" s="1"/>
      </tp>
      <tp t="e">
        <v>#N/A</v>
        <stp/>
        <stp>FWRC1#USDINR#Month End Rates#0#FwdOutrightBid12</stp>
        <tr r="A282" s="1"/>
      </tp>
      <tp t="e">
        <v>#N/A</v>
        <stp/>
        <stp>FWRC1#USDINR#Month End Rates#0#FwdOutrightBid13</stp>
        <tr r="A284" s="1"/>
      </tp>
      <tp t="e">
        <v>#N/A</v>
        <stp/>
        <stp>FWRC1#USDINR#Month End Rates#0#FwdOutrightBid10</stp>
        <tr r="A278" s="1"/>
      </tp>
      <tp t="e">
        <v>#N/A</v>
        <stp/>
        <stp>FWRC1#USDINR#Month End Rates#0#FwdOutrightBid11</stp>
        <tr r="A280" s="1"/>
      </tp>
      <tp t="e">
        <v>#N/A</v>
        <stp/>
        <stp>FWRC1#USDINR#Month End Rates#0#FwdOutrightBid14</stp>
        <tr r="A286" s="1"/>
      </tp>
      <tp t="e">
        <v>#N/A</v>
        <stp/>
        <stp>FWRC1#USDINR#Month End Rates#0#FwdOutrightBid15</stp>
        <tr r="A288" s="1"/>
      </tp>
      <tp t="e">
        <v>#N/A</v>
        <stp/>
        <stp>12#2#1#6069#SUSDJPY#Open</stp>
        <tr r="A99" s="1"/>
      </tp>
      <tp t="e">
        <v>#N/A</v>
        <stp/>
        <stp>12#2#1#6069#SUSDPHP#High</stp>
        <tr r="A148" s="1"/>
      </tp>
      <tp t="e">
        <v>#N/A</v>
        <stp/>
        <stp>12#2#1#6069#SUSDTHB#High</stp>
        <tr r="A152" s="1"/>
      </tp>
      <tp t="e">
        <v>#N/A</v>
        <stp/>
        <stp>12#2#1#6069#SUSDCAD#Close</stp>
        <tr r="A106" s="1"/>
      </tp>
      <tp t="e">
        <v>#N/A</v>
        <stp/>
        <stp>12#2#1#6069#SUSDHKD#Close</stp>
        <tr r="A172" s="1"/>
      </tp>
      <tp t="e">
        <v>#N/A</v>
        <stp/>
        <stp>12#2#1#6069#SUSDTWD#Close</stp>
        <tr r="A173" s="1"/>
      </tp>
      <tp t="e">
        <v>#N/A</v>
        <stp/>
        <stp>12#2#1#6069#SUSDSGD#Close</stp>
        <tr r="A171" s="1"/>
      </tp>
      <tp t="e">
        <v>#N/A</v>
        <stp/>
        <stp>17#2#1#6069#USDINRCOMP Fwd MW 12M#Ask</stp>
        <tr r="A340" s="1"/>
      </tp>
      <tp t="e">
        <v>#N/A</v>
        <stp/>
        <stp>17#2#1#6069#USDINRCOMP Fwd MW 11M#Ask</stp>
        <tr r="A336" s="1"/>
      </tp>
      <tp t="e">
        <v>#N/A</v>
        <stp/>
        <stp>17#2#1#6069#USDINRCOMP Fwd MW 10M#Ask</stp>
        <tr r="A332" s="1"/>
      </tp>
      <tp t="e">
        <v>#N/A</v>
        <stp/>
        <stp>12#2#1#6069#SUSDSGD#High</stp>
        <tr r="A144" s="1"/>
      </tp>
      <tp t="e">
        <v>#N/A</v>
        <stp/>
        <stp>12#2#1#5949#SEURINR#52WkLow</stp>
        <tr r="A35" s="1"/>
      </tp>
      <tp t="e">
        <v>#N/A</v>
        <stp/>
        <stp>12#2#1#5978#SJPYINR#52WkLow</stp>
        <tr r="A37" s="1"/>
      </tp>
      <tp t="e">
        <v>#N/A</v>
        <stp/>
        <stp>FWRC1#USDINR#Month End Rates#0#FwdOutrightAsk11</stp>
        <tr r="A281" s="1"/>
      </tp>
      <tp t="e">
        <v>#N/A</v>
        <stp/>
        <stp>FWRC1#USDINR#Month End Rates#0#FwdOutrightAsk10</stp>
        <tr r="A279" s="1"/>
      </tp>
      <tp t="e">
        <v>#N/A</v>
        <stp/>
        <stp>FWRC1#USDINR#Month End Rates#0#FwdOutrightAsk13</stp>
        <tr r="A285" s="1"/>
      </tp>
      <tp t="e">
        <v>#N/A</v>
        <stp/>
        <stp>FWRC1#USDINR#Month End Rates#0#FwdOutrightAsk12</stp>
        <tr r="A283" s="1"/>
      </tp>
      <tp t="e">
        <v>#N/A</v>
        <stp/>
        <stp>FWRC1#USDINR#Month End Rates#0#FwdOutrightAsk15</stp>
        <tr r="A289" s="1"/>
      </tp>
      <tp t="e">
        <v>#N/A</v>
        <stp/>
        <stp>FWRC1#USDINR#Month End Rates#0#FwdOutrightAsk14</stp>
        <tr r="A287" s="1"/>
      </tp>
      <tp t="e">
        <v>#N/A</v>
        <stp/>
        <stp>FWRC1#EURUSD#Month Wise Rates#0#S#PillarDate18</stp>
        <tr r="A649" s="1"/>
      </tp>
      <tp t="e">
        <v>#N/A</v>
        <stp/>
        <stp>FWRC1#EURUSD#Month Wise Rates#0#S#PillarDate15</stp>
        <tr r="A637" s="1"/>
      </tp>
      <tp t="e">
        <v>#N/A</v>
        <stp/>
        <stp>FWRC1#EURUSD#Month Wise Rates#0#S#PillarDate14</stp>
        <tr r="A633" s="1"/>
      </tp>
      <tp t="e">
        <v>#N/A</v>
        <stp/>
        <stp>FWRC1#EURUSD#Month Wise Rates#0#S#PillarDate17</stp>
        <tr r="A645" s="1"/>
      </tp>
      <tp t="e">
        <v>#N/A</v>
        <stp/>
        <stp>FWRC1#EURUSD#Month Wise Rates#0#S#PillarDate16</stp>
        <tr r="A641" s="1"/>
      </tp>
      <tp t="e">
        <v>#N/A</v>
        <stp/>
        <stp>FWRC1#EURUSD#Month Wise Rates#0#S#PillarDate11</stp>
        <tr r="A621" s="1"/>
      </tp>
      <tp t="e">
        <v>#N/A</v>
        <stp/>
        <stp>FWRC1#EURUSD#Month Wise Rates#0#S#PillarDate10</stp>
        <tr r="A617" s="1"/>
      </tp>
      <tp t="e">
        <v>#N/A</v>
        <stp/>
        <stp>FWRC1#EURUSD#Month Wise Rates#0#S#PillarDate13</stp>
        <tr r="A629" s="1"/>
      </tp>
      <tp t="e">
        <v>#N/A</v>
        <stp/>
        <stp>FWRC1#EURUSD#Month Wise Rates#0#S#PillarDate12</stp>
        <tr r="A625" s="1"/>
      </tp>
      <tp t="e">
        <v>#N/A</v>
        <stp/>
        <stp>12#2#1#6069#SUSDCNY#52WkLow</stp>
        <tr r="A195" s="1"/>
      </tp>
      <tp t="e">
        <v>#N/A</v>
        <stp/>
        <stp>12#2#1#6069#SUSDCAD#52WkLow</stp>
        <tr r="A116" s="1"/>
      </tp>
      <tp t="e">
        <v>#N/A</v>
        <stp/>
        <stp>FWRC1#GBPINR#Month Wise Rates#0#S#PillarDate11</stp>
        <tr r="A463" s="1"/>
      </tp>
      <tp t="e">
        <v>#N/A</v>
        <stp/>
        <stp>FWRC1#GBPINR#Month Wise Rates#0#S#PillarDate10</stp>
        <tr r="A459" s="1"/>
      </tp>
      <tp t="e">
        <v>#N/A</v>
        <stp/>
        <stp>FWRC1#GBPINR#Month Wise Rates#0#S#PillarDate13</stp>
        <tr r="A471" s="1"/>
      </tp>
      <tp t="e">
        <v>#N/A</v>
        <stp/>
        <stp>FWRC1#GBPINR#Month Wise Rates#0#S#PillarDate12</stp>
        <tr r="A467" s="1"/>
      </tp>
      <tp t="e">
        <v>#N/A</v>
        <stp/>
        <stp>FWRC1#GBPINR#Month Wise Rates#0#S#PillarDate15</stp>
        <tr r="A479" s="1"/>
      </tp>
      <tp t="e">
        <v>#N/A</v>
        <stp/>
        <stp>FWRC1#GBPINR#Month Wise Rates#0#S#PillarDate14</stp>
        <tr r="A475" s="1"/>
      </tp>
      <tp t="e">
        <v>#N/A</v>
        <stp/>
        <stp>FWRC1#GBPINR#Month Wise Rates#0#S#PillarDate17</stp>
        <tr r="A487" s="1"/>
      </tp>
      <tp t="e">
        <v>#N/A</v>
        <stp/>
        <stp>FWRC1#GBPINR#Month Wise Rates#0#S#PillarDate16</stp>
        <tr r="A483" s="1"/>
      </tp>
      <tp t="e">
        <v>#N/A</v>
        <stp/>
        <stp>FWRC1#GBPINR#Month Wise Rates#0#S#PillarDate18</stp>
        <tr r="A491" s="1"/>
      </tp>
      <tp t="e">
        <v>#N/A</v>
        <stp/>
        <stp>12#2#1#6031#SGBPUSD#High</stp>
        <tr r="A88" s="1"/>
      </tp>
      <tp t="e">
        <v>#N/A</v>
        <stp/>
        <stp>12#2#1#6069#SUSDIDR#High</stp>
        <tr r="A149" s="1"/>
      </tp>
      <tp t="e">
        <v>#N/A</v>
        <stp/>
        <stp>17#2#1#6069#USDINRCOMP Fwd MW 11M#Bid</stp>
        <tr r="A335" s="1"/>
      </tp>
      <tp t="e">
        <v>#N/A</v>
        <stp/>
        <stp>17#2#1#6069#USDINRCOMP Fwd MW 10M#Bid</stp>
        <tr r="A331" s="1"/>
      </tp>
      <tp t="e">
        <v>#N/A</v>
        <stp/>
        <stp>17#2#1#6069#USDINRCOMP Fwd MW 12M#Bid</stp>
        <tr r="A339" s="1"/>
      </tp>
      <tp t="e">
        <v>#N/A</v>
        <stp/>
        <stp>12#2#1#5903#SAUDUSD#Close</stp>
        <tr r="A105" s="1"/>
      </tp>
      <tp t="e">
        <v>#N/A</v>
        <stp/>
        <stp>3#1#3#658#%Chg</stp>
        <tr r="A50" s="1"/>
      </tp>
      <tp t="e">
        <v>#N/A</v>
        <stp/>
        <stp>FWRC1#USDINR#Month End Rates#0#FwdOutrightBid8</stp>
        <tr r="A274" s="1"/>
      </tp>
      <tp t="e">
        <v>#N/A</v>
        <stp/>
        <stp>FWRC1#USDINR#Month End Rates#0#FwdOutrightBid9</stp>
        <tr r="A276" s="1"/>
      </tp>
      <tp t="e">
        <v>#N/A</v>
        <stp/>
        <stp>FWRC1#USDINR#Month End Rates#0#FwdOutrightBid4</stp>
        <tr r="A266" s="1"/>
      </tp>
      <tp t="e">
        <v>#N/A</v>
        <stp/>
        <stp>FWRC1#USDINR#Month End Rates#0#FwdOutrightBid5</stp>
        <tr r="A268" s="1"/>
      </tp>
      <tp t="e">
        <v>#N/A</v>
        <stp/>
        <stp>FWRC1#USDINR#Month End Rates#0#FwdOutrightBid6</stp>
        <tr r="A270" s="1"/>
      </tp>
      <tp t="e">
        <v>#N/A</v>
        <stp/>
        <stp>FWRC1#USDINR#Month End Rates#0#FwdOutrightBid7</stp>
        <tr r="A272" s="1"/>
      </tp>
      <tp t="e">
        <v>#N/A</v>
        <stp/>
        <stp>3#1#3#658#LTP</stp>
        <tr r="A38" s="1"/>
      </tp>
      <tp t="e">
        <v>#N/A</v>
        <stp/>
        <stp>12#2#1#5903#SAUDUSD#High</stp>
        <tr r="A90" s="1"/>
      </tp>
      <tp t="e">
        <v>#N/A</v>
        <stp/>
        <stp>12#2#1#5949#SEURUSD#High</stp>
        <tr r="A87" s="1"/>
      </tp>
      <tp t="e">
        <v>#N/A</v>
        <stp/>
        <stp>12#2#1#6069#SUSDCAD#High</stp>
        <tr r="A91" s="1"/>
      </tp>
      <tp t="e">
        <v>#N/A</v>
        <stp/>
        <stp>12#2#1#6069#SUSDMYR#Open</stp>
        <tr r="A169" s="1"/>
      </tp>
      <tp t="e">
        <v>#N/A</v>
        <stp/>
        <stp>47#5#1#5629#GBP1Y.LIBOR#LTP</stp>
        <tr r="A70" s="1"/>
      </tp>
      <tp t="e">
        <v>#N/A</v>
        <stp/>
        <stp>47#5#1#5629#EUR1Y.LIBOR#LTP</stp>
        <tr r="A69" s="1"/>
      </tp>
      <tp t="e">
        <v>#N/A</v>
        <stp/>
        <stp>47#4#1#5978#YENINRREF.RBI#Bid</stp>
        <tr r="A201" s="1"/>
      </tp>
      <tp t="e">
        <v>#N/A</v>
        <stp/>
        <stp>FWRC1#GBPUSD#Month Wise Rates#0#FwdOutrightAsk18</stp>
        <tr r="A761" s="1"/>
      </tp>
      <tp t="e">
        <v>#N/A</v>
        <stp/>
        <stp>FWRC1#GBPUSD#Month Wise Rates#0#FwdOutrightAsk12</stp>
        <tr r="A749" s="1"/>
      </tp>
      <tp t="e">
        <v>#N/A</v>
        <stp/>
        <stp>FWRC1#GBPUSD#Month Wise Rates#0#FwdOutrightAsk13</stp>
        <tr r="A751" s="1"/>
      </tp>
      <tp t="e">
        <v>#N/A</v>
        <stp/>
        <stp>FWRC1#GBPUSD#Month Wise Rates#0#FwdOutrightAsk10</stp>
        <tr r="A745" s="1"/>
      </tp>
      <tp t="e">
        <v>#N/A</v>
        <stp/>
        <stp>FWRC1#GBPUSD#Month Wise Rates#0#FwdOutrightAsk11</stp>
        <tr r="A747" s="1"/>
      </tp>
      <tp t="e">
        <v>#N/A</v>
        <stp/>
        <stp>FWRC1#GBPUSD#Month Wise Rates#0#FwdOutrightAsk16</stp>
        <tr r="A757" s="1"/>
      </tp>
      <tp t="e">
        <v>#N/A</v>
        <stp/>
        <stp>FWRC1#GBPUSD#Month Wise Rates#0#FwdOutrightAsk17</stp>
        <tr r="A759" s="1"/>
      </tp>
      <tp t="e">
        <v>#N/A</v>
        <stp/>
        <stp>FWRC1#GBPUSD#Month Wise Rates#0#FwdOutrightAsk14</stp>
        <tr r="A753" s="1"/>
      </tp>
      <tp t="e">
        <v>#N/A</v>
        <stp/>
        <stp>FWRC1#GBPUSD#Month Wise Rates#0#FwdOutrightAsk15</stp>
        <tr r="A755" s="1"/>
      </tp>
      <tp t="e">
        <v>#N/A</v>
        <stp/>
        <stp>FWRC1#EURUSD#Month Wise Rates#0#FwdOutrightAsk18</stp>
        <tr r="A680" s="1"/>
      </tp>
      <tp t="e">
        <v>#N/A</v>
        <stp/>
        <stp>FWRC1#EURUSD#Month Wise Rates#0#FwdOutrightAsk15</stp>
        <tr r="A674" s="1"/>
      </tp>
      <tp t="e">
        <v>#N/A</v>
        <stp/>
        <stp>FWRC1#EURUSD#Month Wise Rates#0#FwdOutrightAsk14</stp>
        <tr r="A672" s="1"/>
      </tp>
      <tp t="e">
        <v>#N/A</v>
        <stp/>
        <stp>FWRC1#EURUSD#Month Wise Rates#0#FwdOutrightAsk17</stp>
        <tr r="A678" s="1"/>
      </tp>
      <tp t="e">
        <v>#N/A</v>
        <stp/>
        <stp>FWRC1#EURUSD#Month Wise Rates#0#FwdOutrightAsk16</stp>
        <tr r="A676" s="1"/>
      </tp>
      <tp t="e">
        <v>#N/A</v>
        <stp/>
        <stp>FWRC1#EURUSD#Month Wise Rates#0#FwdOutrightAsk11</stp>
        <tr r="A666" s="1"/>
      </tp>
      <tp t="e">
        <v>#N/A</v>
        <stp/>
        <stp>FWRC1#EURUSD#Month Wise Rates#0#FwdOutrightAsk10</stp>
        <tr r="A664" s="1"/>
      </tp>
      <tp t="e">
        <v>#N/A</v>
        <stp/>
        <stp>FWRC1#EURUSD#Month Wise Rates#0#FwdOutrightAsk13</stp>
        <tr r="A670" s="1"/>
      </tp>
      <tp t="e">
        <v>#N/A</v>
        <stp/>
        <stp>FWRC1#EURUSD#Month Wise Rates#0#FwdOutrightAsk12</stp>
        <tr r="A668" s="1"/>
      </tp>
      <tp t="e">
        <v>#N/A</v>
        <stp/>
        <stp>FWRC1#GBPINR#Month Wise Rates#0#BidPrice9</stp>
        <tr r="A456" s="1"/>
      </tp>
      <tp t="e">
        <v>#N/A</v>
        <stp/>
        <stp>FWRC1#GBPINR#Month Wise Rates#0#BidPrice8</stp>
        <tr r="A452" s="1"/>
      </tp>
      <tp t="e">
        <v>#N/A</v>
        <stp/>
        <stp>FWRC1#GBPINR#Month Wise Rates#0#BidPrice2</stp>
        <tr r="A444" s="1"/>
      </tp>
      <tp t="e">
        <v>#N/A</v>
        <stp/>
        <stp>FWRC1#GBPINR#Month Wise Rates#0#BidPrice7</stp>
        <tr r="A448" s="1"/>
      </tp>
      <tp t="e">
        <v>#N/A</v>
        <stp/>
        <stp>47#4#1#6069#USDINRREF.RBI#S#Date-Time</stp>
        <tr r="A202" s="1"/>
      </tp>
      <tp t="e">
        <v>#N/A</v>
        <stp/>
        <stp>FWRC1#USDINR#Month End Rates#0#AskPrice4</stp>
        <tr r="A218" s="1"/>
      </tp>
      <tp t="e">
        <v>#N/A</v>
        <stp/>
        <stp>FWRC1#USDINR#Month End Rates#0#AskPrice5</stp>
        <tr r="A222" s="1"/>
      </tp>
      <tp t="e">
        <v>#N/A</v>
        <stp/>
        <stp>FWRC1#USDINR#Month End Rates#0#AskPrice6</stp>
        <tr r="A226" s="1"/>
      </tp>
      <tp t="e">
        <v>#N/A</v>
        <stp/>
        <stp>FWRC1#USDINR#Month End Rates#0#AskPrice7</stp>
        <tr r="A230" s="1"/>
      </tp>
      <tp t="e">
        <v>#N/A</v>
        <stp/>
        <stp>FWRC1#USDINR#Month End Rates#0#AskPrice8</stp>
        <tr r="A234" s="1"/>
      </tp>
      <tp t="e">
        <v>#N/A</v>
        <stp/>
        <stp>FWRC1#USDINR#Month End Rates#0#AskPrice9</stp>
        <tr r="A238" s="1"/>
      </tp>
      <tp t="e">
        <v>#N/A</v>
        <stp/>
        <stp>47#5#1#5629#USD6M.LIBOR#LTP</stp>
        <tr r="A64" s="1"/>
      </tp>
      <tp t="e">
        <v>#N/A</v>
        <stp/>
        <stp>47#5#1#5629#USD1M.LIBOR#LTP</stp>
        <tr r="A56" s="1"/>
      </tp>
      <tp t="e">
        <v>#N/A</v>
        <stp/>
        <stp>47#5#1#5629#USD3M.LIBOR#LTP</stp>
        <tr r="A60" s="1"/>
      </tp>
      <tp t="e">
        <v>#N/A</v>
        <stp/>
        <stp>FWRC1#EURINR#Month Wise Rates#0#BidPrice9</stp>
        <tr r="A378" s="1"/>
      </tp>
      <tp t="e">
        <v>#N/A</v>
        <stp/>
        <stp>FWRC1#EURINR#Month Wise Rates#0#BidPrice8</stp>
        <tr r="A374" s="1"/>
      </tp>
      <tp t="e">
        <v>#N/A</v>
        <stp/>
        <stp>FWRC1#EURINR#Month Wise Rates#0#BidPrice2</stp>
        <tr r="A366" s="1"/>
      </tp>
      <tp t="e">
        <v>#N/A</v>
        <stp/>
        <stp>FWRC1#EURINR#Month Wise Rates#0#BidPrice7</stp>
        <tr r="A370" s="1"/>
      </tp>
      <tp t="e">
        <v>#N/A</v>
        <stp/>
        <stp>FWRC1#JPYINR#Month Wise Rates#0#AskPrice2</stp>
        <tr r="A524" s="1"/>
      </tp>
      <tp t="e">
        <v>#N/A</v>
        <stp/>
        <stp>FWRC1#JPYINR#Month Wise Rates#0#AskPrice7</stp>
        <tr r="A528" s="1"/>
      </tp>
      <tp t="e">
        <v>#N/A</v>
        <stp/>
        <stp>FWRC1#JPYINR#Month Wise Rates#0#AskPrice9</stp>
        <tr r="A536" s="1"/>
      </tp>
      <tp t="e">
        <v>#N/A</v>
        <stp/>
        <stp>FWRC1#JPYINR#Month Wise Rates#0#AskPrice8</stp>
        <tr r="A532" s="1"/>
      </tp>
      <tp t="e">
        <v>#N/A</v>
        <stp/>
        <stp>17#1#1#6069#USDINRCOMP#%Chg</stp>
        <tr r="A10" s="1"/>
      </tp>
      <tp t="e">
        <v>#N/A</v>
        <stp/>
        <stp>FWRC1#USDJPY#Month Wise Rates#0#AskPrice8</stp>
        <tr r="A773" s="1"/>
      </tp>
      <tp t="e">
        <v>#N/A</v>
        <stp/>
        <stp>FWRC1#USDJPY#Month Wise Rates#0#AskPrice9</stp>
        <tr r="A777" s="1"/>
      </tp>
      <tp t="e">
        <v>#N/A</v>
        <stp/>
        <stp>FWRC1#USDJPY#Month Wise Rates#0#AskPrice7</stp>
        <tr r="A769" s="1"/>
      </tp>
      <tp t="e">
        <v>#N/A</v>
        <stp/>
        <stp>FWRC1#USDJPY#Month Wise Rates#0#AskPrice2</stp>
        <tr r="A765" s="1"/>
      </tp>
      <tp t="e">
        <v>#N/A</v>
        <stp/>
        <stp>FWRC1#USDJPY#Month Wise Rates#0#AskPrice0</stp>
        <tr r="A815" s="1"/>
      </tp>
      <tp t="e">
        <v>#N/A</v>
        <stp/>
        <stp>FWRC1#USDJPY#Month Wise Rates#0#BidPrice9</stp>
        <tr r="A776" s="1"/>
      </tp>
      <tp t="e">
        <v>#N/A</v>
        <stp/>
        <stp>FWRC1#USDJPY#Month Wise Rates#0#BidPrice8</stp>
        <tr r="A772" s="1"/>
      </tp>
      <tp t="e">
        <v>#N/A</v>
        <stp/>
        <stp>FWRC1#USDJPY#Month Wise Rates#0#BidPrice7</stp>
        <tr r="A768" s="1"/>
      </tp>
      <tp t="e">
        <v>#N/A</v>
        <stp/>
        <stp>FWRC1#USDJPY#Month Wise Rates#0#BidPrice0</stp>
        <tr r="A814" s="1"/>
      </tp>
      <tp t="e">
        <v>#N/A</v>
        <stp/>
        <stp>FWRC1#USDJPY#Month Wise Rates#0#BidPrice2</stp>
        <tr r="A764" s="1"/>
      </tp>
      <tp t="e">
        <v>#N/A</v>
        <stp/>
        <stp>FWRC1#USDINR#Month End Rates#0#BidPrice7</stp>
        <tr r="A229" s="1"/>
      </tp>
      <tp t="e">
        <v>#N/A</v>
        <stp/>
        <stp>FWRC1#USDINR#Month End Rates#0#BidPrice6</stp>
        <tr r="A225" s="1"/>
      </tp>
      <tp t="e">
        <v>#N/A</v>
        <stp/>
        <stp>FWRC1#USDINR#Month End Rates#0#BidPrice5</stp>
        <tr r="A221" s="1"/>
      </tp>
      <tp t="e">
        <v>#N/A</v>
        <stp/>
        <stp>FWRC1#USDINR#Month End Rates#0#BidPrice4</stp>
        <tr r="A217" s="1"/>
      </tp>
      <tp t="e">
        <v>#N/A</v>
        <stp/>
        <stp>FWRC1#USDINR#Month End Rates#0#BidPrice9</stp>
        <tr r="A237" s="1"/>
      </tp>
      <tp t="e">
        <v>#N/A</v>
        <stp/>
        <stp>FWRC1#USDINR#Month End Rates#0#BidPrice8</stp>
        <tr r="A233" s="1"/>
      </tp>
      <tp t="e">
        <v>#N/A</v>
        <stp/>
        <stp>FWRC1#EURINR#Month Wise Rates#0#AskPrice8</stp>
        <tr r="A375" s="1"/>
      </tp>
      <tp t="e">
        <v>#N/A</v>
        <stp/>
        <stp>FWRC1#EURINR#Month Wise Rates#0#AskPrice9</stp>
        <tr r="A379" s="1"/>
      </tp>
      <tp t="e">
        <v>#N/A</v>
        <stp/>
        <stp>FWRC1#EURINR#Month Wise Rates#0#AskPrice2</stp>
        <tr r="A367" s="1"/>
      </tp>
      <tp t="e">
        <v>#N/A</v>
        <stp/>
        <stp>FWRC1#EURINR#Month Wise Rates#0#AskPrice7</stp>
        <tr r="A371" s="1"/>
      </tp>
      <tp t="e">
        <v>#N/A</v>
        <stp/>
        <stp>FWRC1#JPYINR#Month Wise Rates#0#BidPrice2</stp>
        <tr r="A523" s="1"/>
      </tp>
      <tp t="e">
        <v>#N/A</v>
        <stp/>
        <stp>FWRC1#JPYINR#Month Wise Rates#0#BidPrice7</stp>
        <tr r="A527" s="1"/>
      </tp>
      <tp t="e">
        <v>#N/A</v>
        <stp/>
        <stp>FWRC1#JPYINR#Month Wise Rates#0#BidPrice8</stp>
        <tr r="A531" s="1"/>
      </tp>
      <tp t="e">
        <v>#N/A</v>
        <stp/>
        <stp>FWRC1#JPYINR#Month Wise Rates#0#BidPrice9</stp>
        <tr r="A535" s="1"/>
      </tp>
      <tp t="e">
        <v>#N/A</v>
        <stp/>
        <stp>47#4#1#6069#USDINRREF.RBI#Bid</stp>
        <tr r="A198" s="1"/>
      </tp>
      <tp t="e">
        <v>#N/A</v>
        <stp/>
        <stp>FWRC1#GBPINR#Month Wise Rates#0#AskPrice8</stp>
        <tr r="A453" s="1"/>
      </tp>
      <tp t="e">
        <v>#N/A</v>
        <stp/>
        <stp>FWRC1#GBPINR#Month Wise Rates#0#AskPrice9</stp>
        <tr r="A457" s="1"/>
      </tp>
      <tp t="e">
        <v>#N/A</v>
        <stp/>
        <stp>FWRC1#GBPINR#Month Wise Rates#0#AskPrice2</stp>
        <tr r="A445" s="1"/>
      </tp>
      <tp t="e">
        <v>#N/A</v>
        <stp/>
        <stp>FWRC1#GBPINR#Month Wise Rates#0#AskPrice7</stp>
        <tr r="A449" s="1"/>
      </tp>
      <tp t="e">
        <v>#N/A</v>
        <stp/>
        <stp>FWRC1#GBPUSD#Month Wise Rates#0#FwdOutrightBid18</stp>
        <tr r="A760" s="1"/>
      </tp>
      <tp t="e">
        <v>#N/A</v>
        <stp/>
        <stp>FWRC1#GBPUSD#Month Wise Rates#0#FwdOutrightBid11</stp>
        <tr r="A746" s="1"/>
      </tp>
      <tp t="e">
        <v>#N/A</v>
        <stp/>
        <stp>FWRC1#GBPUSD#Month Wise Rates#0#FwdOutrightBid10</stp>
        <tr r="A744" s="1"/>
      </tp>
      <tp t="e">
        <v>#N/A</v>
        <stp/>
        <stp>FWRC1#GBPUSD#Month Wise Rates#0#FwdOutrightBid13</stp>
        <tr r="A750" s="1"/>
      </tp>
      <tp t="e">
        <v>#N/A</v>
        <stp/>
        <stp>FWRC1#GBPUSD#Month Wise Rates#0#FwdOutrightBid12</stp>
        <tr r="A748" s="1"/>
      </tp>
      <tp t="e">
        <v>#N/A</v>
        <stp/>
        <stp>FWRC1#GBPUSD#Month Wise Rates#0#FwdOutrightBid15</stp>
        <tr r="A754" s="1"/>
      </tp>
      <tp t="e">
        <v>#N/A</v>
        <stp/>
        <stp>FWRC1#GBPUSD#Month Wise Rates#0#FwdOutrightBid14</stp>
        <tr r="A752" s="1"/>
      </tp>
      <tp t="e">
        <v>#N/A</v>
        <stp/>
        <stp>FWRC1#GBPUSD#Month Wise Rates#0#FwdOutrightBid17</stp>
        <tr r="A758" s="1"/>
      </tp>
      <tp t="e">
        <v>#N/A</v>
        <stp/>
        <stp>FWRC1#GBPUSD#Month Wise Rates#0#FwdOutrightBid16</stp>
        <tr r="A756" s="1"/>
      </tp>
      <tp t="e">
        <v>#N/A</v>
        <stp/>
        <stp>FWRC1#EURUSD#Month Wise Rates#0#FwdOutrightBid18</stp>
        <tr r="A679" s="1"/>
      </tp>
      <tp t="e">
        <v>#N/A</v>
        <stp/>
        <stp>FWRC1#EURUSD#Month Wise Rates#0#FwdOutrightBid16</stp>
        <tr r="A675" s="1"/>
      </tp>
      <tp t="e">
        <v>#N/A</v>
        <stp/>
        <stp>FWRC1#EURUSD#Month Wise Rates#0#FwdOutrightBid17</stp>
        <tr r="A677" s="1"/>
      </tp>
      <tp t="e">
        <v>#N/A</v>
        <stp/>
        <stp>FWRC1#EURUSD#Month Wise Rates#0#FwdOutrightBid14</stp>
        <tr r="A671" s="1"/>
      </tp>
      <tp t="e">
        <v>#N/A</v>
        <stp/>
        <stp>FWRC1#EURUSD#Month Wise Rates#0#FwdOutrightBid15</stp>
        <tr r="A673" s="1"/>
      </tp>
      <tp t="e">
        <v>#N/A</v>
        <stp/>
        <stp>FWRC1#EURUSD#Month Wise Rates#0#FwdOutrightBid12</stp>
        <tr r="A667" s="1"/>
      </tp>
      <tp t="e">
        <v>#N/A</v>
        <stp/>
        <stp>FWRC1#EURUSD#Month Wise Rates#0#FwdOutrightBid13</stp>
        <tr r="A669" s="1"/>
      </tp>
      <tp t="e">
        <v>#N/A</v>
        <stp/>
        <stp>FWRC1#EURUSD#Month Wise Rates#0#FwdOutrightBid10</stp>
        <tr r="A663" s="1"/>
      </tp>
      <tp t="e">
        <v>#N/A</v>
        <stp/>
        <stp>FWRC1#EURUSD#Month Wise Rates#0#FwdOutrightBid11</stp>
        <tr r="A665" s="1"/>
      </tp>
      <tp t="e">
        <v>#N/A</v>
        <stp/>
        <stp>47#5#1#5629#JPY1Y.LIBOR#LTP</stp>
        <tr r="A71" s="1"/>
      </tp>
      <tp t="e">
        <v>#N/A</v>
        <stp/>
        <stp>FWRC1#USDINR#Month Wise Rates#1#FwdOutrightBid18</stp>
        <tr r="A363" s="1"/>
      </tp>
      <tp t="e">
        <v>#N/A</v>
        <stp/>
        <stp>FWRC1#USDINR#Month Wise Rates#1#FwdOutrightBid16</stp>
        <tr r="A359" s="1"/>
      </tp>
      <tp t="e">
        <v>#N/A</v>
        <stp/>
        <stp>FWRC1#USDINR#Month Wise Rates#1#FwdOutrightBid17</stp>
        <tr r="A361" s="1"/>
      </tp>
      <tp t="e">
        <v>#N/A</v>
        <stp/>
        <stp>FWRC1#USDINR#Month Wise Rates#1#FwdOutrightBid14</stp>
        <tr r="A355" s="1"/>
      </tp>
      <tp t="e">
        <v>#N/A</v>
        <stp/>
        <stp>FWRC1#USDINR#Month Wise Rates#1#FwdOutrightBid15</stp>
        <tr r="A357" s="1"/>
      </tp>
      <tp t="e">
        <v>#N/A</v>
        <stp/>
        <stp>FWRC1#USDINR#Month Wise Rates#1#FwdOutrightBid12</stp>
        <tr r="A351" s="1"/>
      </tp>
      <tp t="e">
        <v>#N/A</v>
        <stp/>
        <stp>FWRC1#USDINR#Month Wise Rates#1#FwdOutrightBid13</stp>
        <tr r="A353" s="1"/>
      </tp>
      <tp t="e">
        <v>#N/A</v>
        <stp/>
        <stp>FWRC1#USDINR#Month Wise Rates#1#FwdOutrightBid10</stp>
        <tr r="A347" s="1"/>
      </tp>
      <tp t="e">
        <v>#N/A</v>
        <stp/>
        <stp>FWRC1#USDINR#Month Wise Rates#1#FwdOutrightBid11</stp>
        <tr r="A349" s="1"/>
      </tp>
      <tp t="e">
        <v>#N/A</v>
        <stp/>
        <stp>FWRC1#GBPINR#Month Wise Rates#0#FwdOutrightBid18</stp>
        <tr r="A519" s="1"/>
      </tp>
      <tp t="e">
        <v>#N/A</v>
        <stp/>
        <stp>FWRC1#GBPINR#Month Wise Rates#0#FwdOutrightBid17</stp>
        <tr r="A517" s="1"/>
      </tp>
      <tp t="e">
        <v>#N/A</v>
        <stp/>
        <stp>FWRC1#GBPINR#Month Wise Rates#0#FwdOutrightBid16</stp>
        <tr r="A515" s="1"/>
      </tp>
      <tp t="e">
        <v>#N/A</v>
        <stp/>
        <stp>FWRC1#GBPINR#Month Wise Rates#0#FwdOutrightBid15</stp>
        <tr r="A513" s="1"/>
      </tp>
      <tp t="e">
        <v>#N/A</v>
        <stp/>
        <stp>FWRC1#GBPINR#Month Wise Rates#0#FwdOutrightBid14</stp>
        <tr r="A511" s="1"/>
      </tp>
      <tp t="e">
        <v>#N/A</v>
        <stp/>
        <stp>FWRC1#GBPINR#Month Wise Rates#0#FwdOutrightBid13</stp>
        <tr r="A509" s="1"/>
      </tp>
      <tp t="e">
        <v>#N/A</v>
        <stp/>
        <stp>FWRC1#GBPINR#Month Wise Rates#0#FwdOutrightBid12</stp>
        <tr r="A507" s="1"/>
      </tp>
      <tp t="e">
        <v>#N/A</v>
        <stp/>
        <stp>FWRC1#GBPINR#Month Wise Rates#0#FwdOutrightBid11</stp>
        <tr r="A505" s="1"/>
      </tp>
      <tp t="e">
        <v>#N/A</v>
        <stp/>
        <stp>FWRC1#GBPINR#Month Wise Rates#0#FwdOutrightBid10</stp>
        <tr r="A503" s="1"/>
      </tp>
      <tp t="e">
        <v>#N/A</v>
        <stp/>
        <stp>FWRC1#EURINR#Month Wise Rates#0#FwdOutrightBid18</stp>
        <tr r="A441" s="1"/>
      </tp>
      <tp t="e">
        <v>#N/A</v>
        <stp/>
        <stp>FWRC1#EURINR#Month Wise Rates#0#FwdOutrightBid10</stp>
        <tr r="A425" s="1"/>
      </tp>
      <tp t="e">
        <v>#N/A</v>
        <stp/>
        <stp>FWRC1#EURINR#Month Wise Rates#0#FwdOutrightBid11</stp>
        <tr r="A427" s="1"/>
      </tp>
      <tp t="e">
        <v>#N/A</v>
        <stp/>
        <stp>FWRC1#EURINR#Month Wise Rates#0#FwdOutrightBid12</stp>
        <tr r="A429" s="1"/>
      </tp>
      <tp t="e">
        <v>#N/A</v>
        <stp/>
        <stp>FWRC1#EURINR#Month Wise Rates#0#FwdOutrightBid13</stp>
        <tr r="A431" s="1"/>
      </tp>
      <tp t="e">
        <v>#N/A</v>
        <stp/>
        <stp>FWRC1#EURINR#Month Wise Rates#0#FwdOutrightBid14</stp>
        <tr r="A433" s="1"/>
      </tp>
      <tp t="e">
        <v>#N/A</v>
        <stp/>
        <stp>FWRC1#EURINR#Month Wise Rates#0#FwdOutrightBid15</stp>
        <tr r="A435" s="1"/>
      </tp>
      <tp t="e">
        <v>#N/A</v>
        <stp/>
        <stp>FWRC1#EURINR#Month Wise Rates#0#FwdOutrightBid16</stp>
        <tr r="A437" s="1"/>
      </tp>
      <tp t="e">
        <v>#N/A</v>
        <stp/>
        <stp>FWRC1#EURINR#Month Wise Rates#0#FwdOutrightBid17</stp>
        <tr r="A439" s="1"/>
      </tp>
      <tp t="e">
        <v>#N/A</v>
        <stp/>
        <stp>FWRC1#JPYINR#Month Wise Rates#0#FwdOutrightBid18</stp>
        <tr r="A598" s="1"/>
      </tp>
      <tp t="e">
        <v>#N/A</v>
        <stp/>
        <stp>FWRC1#JPYINR#Month Wise Rates#0#FwdOutrightBid15</stp>
        <tr r="A592" s="1"/>
      </tp>
      <tp t="e">
        <v>#N/A</v>
        <stp/>
        <stp>FWRC1#JPYINR#Month Wise Rates#0#FwdOutrightBid14</stp>
        <tr r="A590" s="1"/>
      </tp>
      <tp t="e">
        <v>#N/A</v>
        <stp/>
        <stp>FWRC1#JPYINR#Month Wise Rates#0#FwdOutrightBid17</stp>
        <tr r="A596" s="1"/>
      </tp>
      <tp t="e">
        <v>#N/A</v>
        <stp/>
        <stp>FWRC1#JPYINR#Month Wise Rates#0#FwdOutrightBid16</stp>
        <tr r="A594" s="1"/>
      </tp>
      <tp t="e">
        <v>#N/A</v>
        <stp/>
        <stp>FWRC1#JPYINR#Month Wise Rates#0#FwdOutrightBid11</stp>
        <tr r="A584" s="1"/>
      </tp>
      <tp t="e">
        <v>#N/A</v>
        <stp/>
        <stp>FWRC1#JPYINR#Month Wise Rates#0#FwdOutrightBid10</stp>
        <tr r="A582" s="1"/>
      </tp>
      <tp t="e">
        <v>#N/A</v>
        <stp/>
        <stp>FWRC1#JPYINR#Month Wise Rates#0#FwdOutrightBid13</stp>
        <tr r="A588" s="1"/>
      </tp>
      <tp t="e">
        <v>#N/A</v>
        <stp/>
        <stp>FWRC1#JPYINR#Month Wise Rates#0#FwdOutrightBid12</stp>
        <tr r="A586" s="1"/>
      </tp>
      <tp t="e">
        <v>#N/A</v>
        <stp/>
        <stp>17#3#1#5978#JPYINRCOMP#%Chg</stp>
        <tr r="A13" s="1"/>
      </tp>
      <tp t="e">
        <v>#N/A</v>
        <stp/>
        <stp>47#5#1#5629#USD1Y.LIBOR#LTP</stp>
        <tr r="A68" s="1"/>
      </tp>
      <tp t="e">
        <v>#N/A</v>
        <stp/>
        <stp>47#4#1#5949#EURINRREF.RBI#S#Date-Time</stp>
        <tr r="A203" s="1"/>
        <tr r="A205" s="1"/>
        <tr r="A204" s="1"/>
      </tp>
      <tp t="e">
        <v>#N/A</v>
        <stp/>
        <stp>FWRC1#USDJPY#Month Wise Rates#0#FwdOutrightBid15</stp>
        <tr r="A836" s="1"/>
      </tp>
      <tp t="e">
        <v>#N/A</v>
        <stp/>
        <stp>FWRC1#USDJPY#Month Wise Rates#0#FwdOutrightBid14</stp>
        <tr r="A834" s="1"/>
      </tp>
      <tp t="e">
        <v>#N/A</v>
        <stp/>
        <stp>FWRC1#USDJPY#Month Wise Rates#0#FwdOutrightBid17</stp>
        <tr r="A840" s="1"/>
      </tp>
      <tp t="e">
        <v>#N/A</v>
        <stp/>
        <stp>FWRC1#USDJPY#Month Wise Rates#0#FwdOutrightBid16</stp>
        <tr r="A838" s="1"/>
      </tp>
      <tp t="e">
        <v>#N/A</v>
        <stp/>
        <stp>FWRC1#USDJPY#Month Wise Rates#0#FwdOutrightBid11</stp>
        <tr r="A828" s="1"/>
      </tp>
      <tp t="e">
        <v>#N/A</v>
        <stp/>
        <stp>FWRC1#USDJPY#Month Wise Rates#0#FwdOutrightBid10</stp>
        <tr r="A826" s="1"/>
      </tp>
      <tp t="e">
        <v>#N/A</v>
        <stp/>
        <stp>FWRC1#USDJPY#Month Wise Rates#0#FwdOutrightBid13</stp>
        <tr r="A832" s="1"/>
      </tp>
      <tp t="e">
        <v>#N/A</v>
        <stp/>
        <stp>FWRC1#USDJPY#Month Wise Rates#0#FwdOutrightBid12</stp>
        <tr r="A830" s="1"/>
      </tp>
      <tp t="e">
        <v>#N/A</v>
        <stp/>
        <stp>FWRC1#USDJPY#Month Wise Rates#0#FwdOutrightBid18</stp>
        <tr r="A842" s="1"/>
      </tp>
      <tp t="e">
        <v>#N/A</v>
        <stp/>
        <stp>47#5#1#5629#GBP6M.LIBOR#LTP</stp>
        <tr r="A66" s="1"/>
      </tp>
      <tp t="e">
        <v>#N/A</v>
        <stp/>
        <stp>47#5#1#5629#GBP1M.LIBOR#LTP</stp>
        <tr r="A58" s="1"/>
      </tp>
      <tp t="e">
        <v>#N/A</v>
        <stp/>
        <stp>47#5#1#5629#GBP3M.LIBOR#LTP</stp>
        <tr r="A62" s="1"/>
      </tp>
      <tp t="e">
        <v>#N/A</v>
        <stp/>
        <stp>17#3#1#6031#GBPINRCOMP#%Chg</stp>
        <tr r="A12" s="1"/>
      </tp>
      <tp t="e">
        <v>#N/A</v>
        <stp/>
        <stp>FWRC1#EURUSD#Month Wise Rates#0#AskPrice8</stp>
        <tr r="A611" s="1"/>
      </tp>
      <tp t="e">
        <v>#N/A</v>
        <stp/>
        <stp>FWRC1#EURUSD#Month Wise Rates#0#AskPrice9</stp>
        <tr r="A615" s="1"/>
      </tp>
      <tp t="e">
        <v>#N/A</v>
        <stp/>
        <stp>FWRC1#EURUSD#Month Wise Rates#0#AskPrice0</stp>
        <tr r="A653" s="1"/>
      </tp>
      <tp t="e">
        <v>#N/A</v>
        <stp/>
        <stp>FWRC1#EURUSD#Month Wise Rates#0#AskPrice2</stp>
        <tr r="A603" s="1"/>
      </tp>
      <tp t="e">
        <v>#N/A</v>
        <stp/>
        <stp>FWRC1#EURUSD#Month Wise Rates#0#AskPrice7</stp>
        <tr r="A607" s="1"/>
      </tp>
      <tp t="e">
        <v>#N/A</v>
        <stp/>
        <stp>17#2#1#6069#USDINRCOMP CASH/SPOT#Ask</stp>
        <tr r="A291" s="1"/>
        <tr r="A213" s="1"/>
      </tp>
      <tp t="e">
        <v>#N/A</v>
        <stp/>
        <stp>47#4#1#6031#GBPINRREF.RBI#Bid</stp>
        <tr r="A200" s="1"/>
      </tp>
      <tp t="e">
        <v>#N/A</v>
        <stp/>
        <stp>17#2#1#6069#USDINRCOMP CASH/SPOT#Bid</stp>
        <tr r="A214" s="1"/>
        <tr r="A292" s="1"/>
      </tp>
      <tp t="e">
        <v>#N/A</v>
        <stp/>
        <stp>47#5#1#5629#EUR6M.LIBOR#LTP</stp>
        <tr r="A65" s="1"/>
      </tp>
      <tp t="e">
        <v>#N/A</v>
        <stp/>
        <stp>47#5#1#5629#EUR1M.LIBOR#LTP</stp>
        <tr r="A57" s="1"/>
      </tp>
      <tp t="e">
        <v>#N/A</v>
        <stp/>
        <stp>47#5#1#5629#EUR3M.LIBOR#LTP</stp>
        <tr r="A61" s="1"/>
      </tp>
      <tp t="e">
        <v>#N/A</v>
        <stp/>
        <stp>FWRC1#GBPUSD#Month Wise Rates#0#AskPrice8</stp>
        <tr r="A692" s="1"/>
      </tp>
      <tp t="e">
        <v>#N/A</v>
        <stp/>
        <stp>FWRC1#GBPUSD#Month Wise Rates#0#AskPrice9</stp>
        <tr r="A696" s="1"/>
      </tp>
      <tp t="e">
        <v>#N/A</v>
        <stp/>
        <stp>FWRC1#GBPUSD#Month Wise Rates#0#AskPrice2</stp>
        <tr r="A684" s="1"/>
      </tp>
      <tp t="e">
        <v>#N/A</v>
        <stp/>
        <stp>FWRC1#GBPUSD#Month Wise Rates#0#AskPrice0</stp>
        <tr r="A734" s="1"/>
      </tp>
      <tp t="e">
        <v>#N/A</v>
        <stp/>
        <stp>FWRC1#GBPUSD#Month Wise Rates#0#AskPrice7</stp>
        <tr r="A688" s="1"/>
      </tp>
      <tp t="e">
        <v>#N/A</v>
        <stp/>
        <stp>47#5#1#5629#JPY6M.LIBOR#LTP</stp>
        <tr r="A67" s="1"/>
      </tp>
      <tp t="e">
        <v>#N/A</v>
        <stp/>
        <stp>47#5#1#5629#JPY1M.LIBOR#LTP</stp>
        <tr r="A59" s="1"/>
      </tp>
      <tp t="e">
        <v>#N/A</v>
        <stp/>
        <stp>47#5#1#5629#JPY3M.LIBOR#LTP</stp>
        <tr r="A63" s="1"/>
      </tp>
      <tp t="e">
        <v>#N/A</v>
        <stp/>
        <stp>FWRC1#GBPUSD#Month Wise Rates#0#BidPrice9</stp>
        <tr r="A695" s="1"/>
      </tp>
      <tp t="e">
        <v>#N/A</v>
        <stp/>
        <stp>FWRC1#GBPUSD#Month Wise Rates#0#BidPrice8</stp>
        <tr r="A691" s="1"/>
      </tp>
      <tp t="e">
        <v>#N/A</v>
        <stp/>
        <stp>FWRC1#GBPUSD#Month Wise Rates#0#BidPrice0</stp>
        <tr r="A733" s="1"/>
      </tp>
      <tp t="e">
        <v>#N/A</v>
        <stp/>
        <stp>FWRC1#GBPUSD#Month Wise Rates#0#BidPrice2</stp>
        <tr r="A683" s="1"/>
      </tp>
      <tp t="e">
        <v>#N/A</v>
        <stp/>
        <stp>FWRC1#GBPUSD#Month Wise Rates#0#BidPrice7</stp>
        <tr r="A687" s="1"/>
      </tp>
      <tp t="e">
        <v>#N/A</v>
        <stp/>
        <stp>FWRC1#EURUSD#Month Wise Rates#0#BidPrice9</stp>
        <tr r="A614" s="1"/>
      </tp>
      <tp t="e">
        <v>#N/A</v>
        <stp/>
        <stp>FWRC1#EURUSD#Month Wise Rates#0#BidPrice8</stp>
        <tr r="A610" s="1"/>
      </tp>
      <tp t="e">
        <v>#N/A</v>
        <stp/>
        <stp>FWRC1#EURUSD#Month Wise Rates#0#BidPrice2</stp>
        <tr r="A602" s="1"/>
      </tp>
      <tp t="e">
        <v>#N/A</v>
        <stp/>
        <stp>FWRC1#EURUSD#Month Wise Rates#0#BidPrice0</stp>
        <tr r="A652" s="1"/>
      </tp>
      <tp t="e">
        <v>#N/A</v>
        <stp/>
        <stp>FWRC1#EURUSD#Month Wise Rates#0#BidPrice7</stp>
        <tr r="A606" s="1"/>
      </tp>
      <tp t="e">
        <v>#N/A</v>
        <stp/>
        <stp>FWRC1#USDJPY#Month Wise Rates#0#FwdOutrightAsk16</stp>
        <tr r="A839" s="1"/>
      </tp>
      <tp t="e">
        <v>#N/A</v>
        <stp/>
        <stp>FWRC1#USDJPY#Month Wise Rates#0#FwdOutrightAsk17</stp>
        <tr r="A841" s="1"/>
      </tp>
      <tp t="e">
        <v>#N/A</v>
        <stp/>
        <stp>FWRC1#USDJPY#Month Wise Rates#0#FwdOutrightAsk14</stp>
        <tr r="A835" s="1"/>
      </tp>
      <tp t="e">
        <v>#N/A</v>
        <stp/>
        <stp>FWRC1#USDJPY#Month Wise Rates#0#FwdOutrightAsk15</stp>
        <tr r="A837" s="1"/>
      </tp>
      <tp t="e">
        <v>#N/A</v>
        <stp/>
        <stp>FWRC1#USDJPY#Month Wise Rates#0#FwdOutrightAsk12</stp>
        <tr r="A831" s="1"/>
      </tp>
      <tp t="e">
        <v>#N/A</v>
        <stp/>
        <stp>FWRC1#USDJPY#Month Wise Rates#0#FwdOutrightAsk13</stp>
        <tr r="A833" s="1"/>
      </tp>
      <tp t="e">
        <v>#N/A</v>
        <stp/>
        <stp>FWRC1#USDJPY#Month Wise Rates#0#FwdOutrightAsk10</stp>
        <tr r="A827" s="1"/>
      </tp>
      <tp t="e">
        <v>#N/A</v>
        <stp/>
        <stp>FWRC1#USDJPY#Month Wise Rates#0#FwdOutrightAsk11</stp>
        <tr r="A829" s="1"/>
      </tp>
      <tp t="e">
        <v>#N/A</v>
        <stp/>
        <stp>FWRC1#USDJPY#Month Wise Rates#0#FwdOutrightAsk18</stp>
        <tr r="A843" s="1"/>
      </tp>
      <tp t="e">
        <v>#N/A</v>
        <stp/>
        <stp>17#1#1#6069#USDINRCOMP#52WkHigh</stp>
        <tr r="A30" s="1"/>
      </tp>
      <tp t="e">
        <v>#N/A</v>
        <stp/>
        <stp>FWRC1#USDINR#Month Wise Rates#0#FwdOutrightAsk16</stp>
        <tr r="A844" s="1"/>
      </tp>
      <tp t="e">
        <v>#N/A</v>
        <stp/>
        <stp>FWRC1#USDINR#Month Wise Rates#1#FwdOutrightAsk18</stp>
        <tr r="A364" s="1"/>
      </tp>
      <tp t="e">
        <v>#N/A</v>
        <stp/>
        <stp>FWRC1#USDINR#Month Wise Rates#1#FwdOutrightAsk15</stp>
        <tr r="A358" s="1"/>
      </tp>
      <tp t="e">
        <v>#N/A</v>
        <stp/>
        <stp>FWRC1#USDINR#Month Wise Rates#1#FwdOutrightAsk14</stp>
        <tr r="A356" s="1"/>
      </tp>
      <tp t="e">
        <v>#N/A</v>
        <stp/>
        <stp>FWRC1#USDINR#Month Wise Rates#1#FwdOutrightAsk17</stp>
        <tr r="A362" s="1"/>
        <tr r="A360" s="1"/>
      </tp>
      <tp t="e">
        <v>#N/A</v>
        <stp/>
        <stp>FWRC1#USDINR#Month Wise Rates#1#FwdOutrightAsk11</stp>
        <tr r="A350" s="1"/>
      </tp>
      <tp t="e">
        <v>#N/A</v>
        <stp/>
        <stp>FWRC1#USDINR#Month Wise Rates#1#FwdOutrightAsk10</stp>
        <tr r="A348" s="1"/>
      </tp>
      <tp t="e">
        <v>#N/A</v>
        <stp/>
        <stp>FWRC1#USDINR#Month Wise Rates#1#FwdOutrightAsk13</stp>
        <tr r="A354" s="1"/>
      </tp>
      <tp t="e">
        <v>#N/A</v>
        <stp/>
        <stp>FWRC1#USDINR#Month Wise Rates#1#FwdOutrightAsk12</stp>
        <tr r="A352" s="1"/>
      </tp>
      <tp t="e">
        <v>#N/A</v>
        <stp/>
        <stp>FWRC1#GBPINR#Month Wise Rates#0#FwdOutrightAsk18</stp>
        <tr r="A520" s="1"/>
      </tp>
      <tp t="e">
        <v>#N/A</v>
        <stp/>
        <stp>FWRC1#GBPINR#Month Wise Rates#0#FwdOutrightAsk14</stp>
        <tr r="A512" s="1"/>
      </tp>
      <tp t="e">
        <v>#N/A</v>
        <stp/>
        <stp>FWRC1#GBPINR#Month Wise Rates#0#FwdOutrightAsk15</stp>
        <tr r="A514" s="1"/>
      </tp>
      <tp t="e">
        <v>#N/A</v>
        <stp/>
        <stp>FWRC1#GBPINR#Month Wise Rates#0#FwdOutrightAsk16</stp>
        <tr r="A516" s="1"/>
      </tp>
      <tp t="e">
        <v>#N/A</v>
        <stp/>
        <stp>FWRC1#GBPINR#Month Wise Rates#0#FwdOutrightAsk17</stp>
        <tr r="A518" s="1"/>
      </tp>
      <tp t="e">
        <v>#N/A</v>
        <stp/>
        <stp>FWRC1#GBPINR#Month Wise Rates#0#FwdOutrightAsk10</stp>
        <tr r="A504" s="1"/>
      </tp>
      <tp t="e">
        <v>#N/A</v>
        <stp/>
        <stp>FWRC1#GBPINR#Month Wise Rates#0#FwdOutrightAsk11</stp>
        <tr r="A506" s="1"/>
      </tp>
      <tp t="e">
        <v>#N/A</v>
        <stp/>
        <stp>FWRC1#GBPINR#Month Wise Rates#0#FwdOutrightAsk12</stp>
        <tr r="A508" s="1"/>
      </tp>
      <tp t="e">
        <v>#N/A</v>
        <stp/>
        <stp>FWRC1#GBPINR#Month Wise Rates#0#FwdOutrightAsk13</stp>
        <tr r="A510" s="1"/>
      </tp>
      <tp t="e">
        <v>#N/A</v>
        <stp/>
        <stp>FWRC1#EURINR#Month Wise Rates#0#FwdOutrightAsk18</stp>
        <tr r="A442" s="1"/>
      </tp>
      <tp t="e">
        <v>#N/A</v>
        <stp/>
        <stp>FWRC1#EURINR#Month Wise Rates#0#FwdOutrightAsk13</stp>
        <tr r="A432" s="1"/>
      </tp>
      <tp t="e">
        <v>#N/A</v>
        <stp/>
        <stp>FWRC1#EURINR#Month Wise Rates#0#FwdOutrightAsk12</stp>
        <tr r="A430" s="1"/>
      </tp>
      <tp t="e">
        <v>#N/A</v>
        <stp/>
        <stp>FWRC1#EURINR#Month Wise Rates#0#FwdOutrightAsk11</stp>
        <tr r="A428" s="1"/>
      </tp>
      <tp t="e">
        <v>#N/A</v>
        <stp/>
        <stp>FWRC1#EURINR#Month Wise Rates#0#FwdOutrightAsk10</stp>
        <tr r="A426" s="1"/>
      </tp>
      <tp t="e">
        <v>#N/A</v>
        <stp/>
        <stp>FWRC1#EURINR#Month Wise Rates#0#FwdOutrightAsk17</stp>
        <tr r="A440" s="1"/>
      </tp>
      <tp t="e">
        <v>#N/A</v>
        <stp/>
        <stp>FWRC1#EURINR#Month Wise Rates#0#FwdOutrightAsk16</stp>
        <tr r="A438" s="1"/>
      </tp>
      <tp t="e">
        <v>#N/A</v>
        <stp/>
        <stp>FWRC1#EURINR#Month Wise Rates#0#FwdOutrightAsk15</stp>
        <tr r="A436" s="1"/>
      </tp>
      <tp t="e">
        <v>#N/A</v>
        <stp/>
        <stp>FWRC1#EURINR#Month Wise Rates#0#FwdOutrightAsk14</stp>
        <tr r="A434" s="1"/>
      </tp>
      <tp t="e">
        <v>#N/A</v>
        <stp/>
        <stp>FWRC1#JPYINR#Month Wise Rates#0#FwdOutrightAsk18</stp>
        <tr r="A599" s="1"/>
      </tp>
      <tp t="e">
        <v>#N/A</v>
        <stp/>
        <stp>FWRC1#JPYINR#Month Wise Rates#0#FwdOutrightAsk16</stp>
        <tr r="A595" s="1"/>
      </tp>
      <tp t="e">
        <v>#N/A</v>
        <stp/>
        <stp>FWRC1#JPYINR#Month Wise Rates#0#FwdOutrightAsk17</stp>
        <tr r="A597" s="1"/>
      </tp>
      <tp t="e">
        <v>#N/A</v>
        <stp/>
        <stp>FWRC1#JPYINR#Month Wise Rates#0#FwdOutrightAsk14</stp>
        <tr r="A591" s="1"/>
      </tp>
      <tp t="e">
        <v>#N/A</v>
        <stp/>
        <stp>FWRC1#JPYINR#Month Wise Rates#0#FwdOutrightAsk15</stp>
        <tr r="A593" s="1"/>
      </tp>
      <tp t="e">
        <v>#N/A</v>
        <stp/>
        <stp>FWRC1#JPYINR#Month Wise Rates#0#FwdOutrightAsk12</stp>
        <tr r="A587" s="1"/>
      </tp>
      <tp t="e">
        <v>#N/A</v>
        <stp/>
        <stp>FWRC1#JPYINR#Month Wise Rates#0#FwdOutrightAsk13</stp>
        <tr r="A589" s="1"/>
      </tp>
      <tp t="e">
        <v>#N/A</v>
        <stp/>
        <stp>FWRC1#JPYINR#Month Wise Rates#0#FwdOutrightAsk10</stp>
        <tr r="A583" s="1"/>
      </tp>
      <tp t="e">
        <v>#N/A</v>
        <stp/>
        <stp>FWRC1#JPYINR#Month Wise Rates#0#FwdOutrightAsk11</stp>
        <tr r="A585" s="1"/>
      </tp>
      <tp t="e">
        <v>#N/A</v>
        <stp/>
        <stp>17#3#1#5949#EURINRCOMP#%Chg</stp>
        <tr r="A11" s="1"/>
      </tp>
      <tp t="e">
        <v>#N/A</v>
        <stp/>
        <stp>47#4#1#5949#EURINRREF.RBI#Bid</stp>
        <tr r="A199" s="1"/>
      </tp>
      <tp t="e">
        <v>#N/A</v>
        <stp/>
        <stp>FWRC1#USDINR#Month Wise Rates#1#FwdOutrightBid7</stp>
        <tr r="A341" s="1"/>
      </tp>
      <tp t="e">
        <v>#N/A</v>
        <stp/>
        <stp>FWRC1#USDINR#Month Wise Rates#1#FwdOutrightBid8</stp>
        <tr r="A343" s="1"/>
      </tp>
      <tp t="e">
        <v>#N/A</v>
        <stp/>
        <stp>FWRC1#USDINR#Month Wise Rates#1#FwdOutrightBid9</stp>
        <tr r="A345" s="1"/>
      </tp>
      <tp t="e">
        <v>#N/A</v>
        <stp/>
        <stp>FWRC1#USDJPY#Month Wise Rates#0#FwdOutrightBid9</stp>
        <tr r="A824" s="1"/>
      </tp>
      <tp t="e">
        <v>#N/A</v>
        <stp/>
        <stp>FWRC1#USDJPY#Month Wise Rates#0#FwdOutrightBid8</stp>
        <tr r="A822" s="1"/>
      </tp>
      <tp t="e">
        <v>#N/A</v>
        <stp/>
        <stp>FWRC1#USDJPY#Month Wise Rates#0#FwdOutrightBid7</stp>
        <tr r="A820" s="1"/>
      </tp>
      <tp t="e">
        <v>#N/A</v>
        <stp/>
        <stp>FWRC1#USDJPY#Month Wise Rates#0#FwdOutrightBid2</stp>
        <tr r="A818" s="1"/>
      </tp>
      <tp t="e">
        <v>#N/A</v>
        <stp/>
        <stp>FWRC1#GBPUSD#Month Wise Rates#0#BidPrice13</stp>
        <tr r="A711" s="1"/>
      </tp>
      <tp t="e">
        <v>#N/A</v>
        <stp/>
        <stp>FWRC1#GBPUSD#Month Wise Rates#0#BidPrice12</stp>
        <tr r="A707" s="1"/>
      </tp>
      <tp t="e">
        <v>#N/A</v>
        <stp/>
        <stp>FWRC1#GBPUSD#Month Wise Rates#0#BidPrice11</stp>
        <tr r="A703" s="1"/>
      </tp>
      <tp t="e">
        <v>#N/A</v>
        <stp/>
        <stp>FWRC1#GBPUSD#Month Wise Rates#0#BidPrice10</stp>
        <tr r="A699" s="1"/>
      </tp>
      <tp t="e">
        <v>#N/A</v>
        <stp/>
        <stp>FWRC1#GBPUSD#Month Wise Rates#0#BidPrice17</stp>
        <tr r="A727" s="1"/>
      </tp>
      <tp t="e">
        <v>#N/A</v>
        <stp/>
        <stp>FWRC1#GBPUSD#Month Wise Rates#0#BidPrice16</stp>
        <tr r="A723" s="1"/>
      </tp>
      <tp t="e">
        <v>#N/A</v>
        <stp/>
        <stp>FWRC1#GBPUSD#Month Wise Rates#0#BidPrice15</stp>
        <tr r="A719" s="1"/>
      </tp>
      <tp t="e">
        <v>#N/A</v>
        <stp/>
        <stp>FWRC1#GBPUSD#Month Wise Rates#0#BidPrice14</stp>
        <tr r="A715" s="1"/>
      </tp>
      <tp t="e">
        <v>#N/A</v>
        <stp/>
        <stp>FWRC1#GBPUSD#Month Wise Rates#0#BidPrice18</stp>
        <tr r="A731" s="1"/>
      </tp>
      <tp t="e">
        <v>#N/A</v>
        <stp/>
        <stp>FWRC1#GBPUSD#Month Wise Rates#0#AskPrice18</stp>
        <tr r="A732" s="1"/>
      </tp>
      <tp t="e">
        <v>#N/A</v>
        <stp/>
        <stp>FWRC1#GBPUSD#Month Wise Rates#0#AskPrice11</stp>
        <tr r="A704" s="1"/>
      </tp>
      <tp t="e">
        <v>#N/A</v>
        <stp/>
        <stp>FWRC1#GBPUSD#Month Wise Rates#0#AskPrice10</stp>
        <tr r="A700" s="1"/>
      </tp>
      <tp t="e">
        <v>#N/A</v>
        <stp/>
        <stp>FWRC1#GBPUSD#Month Wise Rates#0#AskPrice13</stp>
        <tr r="A712" s="1"/>
      </tp>
      <tp t="e">
        <v>#N/A</v>
        <stp/>
        <stp>FWRC1#GBPUSD#Month Wise Rates#0#AskPrice12</stp>
        <tr r="A708" s="1"/>
      </tp>
      <tp t="e">
        <v>#N/A</v>
        <stp/>
        <stp>FWRC1#GBPUSD#Month Wise Rates#0#AskPrice15</stp>
        <tr r="A720" s="1"/>
      </tp>
      <tp t="e">
        <v>#N/A</v>
        <stp/>
        <stp>FWRC1#GBPUSD#Month Wise Rates#0#AskPrice14</stp>
        <tr r="A716" s="1"/>
      </tp>
      <tp t="e">
        <v>#N/A</v>
        <stp/>
        <stp>FWRC1#GBPUSD#Month Wise Rates#0#AskPrice17</stp>
        <tr r="A728" s="1"/>
      </tp>
      <tp t="e">
        <v>#N/A</v>
        <stp/>
        <stp>FWRC1#GBPUSD#Month Wise Rates#0#AskPrice16</stp>
        <tr r="A724" s="1"/>
      </tp>
      <tp t="e">
        <v>#N/A</v>
        <stp/>
        <stp>FWRC1#EURINR#Month Wise Rates#0#AskPrice15</stp>
        <tr r="A403" s="1"/>
      </tp>
      <tp t="e">
        <v>#N/A</v>
        <stp/>
        <stp>FWRC1#EURINR#Month Wise Rates#0#AskPrice14</stp>
        <tr r="A399" s="1"/>
      </tp>
      <tp t="e">
        <v>#N/A</v>
        <stp/>
        <stp>FWRC1#EURINR#Month Wise Rates#0#AskPrice17</stp>
        <tr r="A411" s="1"/>
      </tp>
      <tp t="e">
        <v>#N/A</v>
        <stp/>
        <stp>FWRC1#EURINR#Month Wise Rates#0#AskPrice16</stp>
        <tr r="A407" s="1"/>
      </tp>
      <tp t="e">
        <v>#N/A</v>
        <stp/>
        <stp>FWRC1#EURINR#Month Wise Rates#0#AskPrice11</stp>
        <tr r="A387" s="1"/>
      </tp>
      <tp t="e">
        <v>#N/A</v>
        <stp/>
        <stp>FWRC1#EURINR#Month Wise Rates#0#AskPrice10</stp>
        <tr r="A383" s="1"/>
      </tp>
      <tp t="e">
        <v>#N/A</v>
        <stp/>
        <stp>FWRC1#EURINR#Month Wise Rates#0#AskPrice13</stp>
        <tr r="A395" s="1"/>
      </tp>
      <tp t="e">
        <v>#N/A</v>
        <stp/>
        <stp>FWRC1#EURINR#Month Wise Rates#0#AskPrice12</stp>
        <tr r="A391" s="1"/>
      </tp>
      <tp t="e">
        <v>#N/A</v>
        <stp/>
        <stp>FWRC1#EURINR#Month Wise Rates#0#AskPrice18</stp>
        <tr r="A415" s="1"/>
      </tp>
      <tp t="e">
        <v>#N/A</v>
        <stp/>
        <stp>FWRC1#EURINR#Month Wise Rates#0#BidPrice18</stp>
        <tr r="A414" s="1"/>
      </tp>
      <tp t="e">
        <v>#N/A</v>
        <stp/>
        <stp>FWRC1#EURINR#Month Wise Rates#0#BidPrice17</stp>
        <tr r="A410" s="1"/>
      </tp>
      <tp t="e">
        <v>#N/A</v>
        <stp/>
        <stp>FWRC1#EURINR#Month Wise Rates#0#BidPrice16</stp>
        <tr r="A406" s="1"/>
      </tp>
      <tp t="e">
        <v>#N/A</v>
        <stp/>
        <stp>FWRC1#EURINR#Month Wise Rates#0#BidPrice15</stp>
        <tr r="A402" s="1"/>
      </tp>
      <tp t="e">
        <v>#N/A</v>
        <stp/>
        <stp>FWRC1#EURINR#Month Wise Rates#0#BidPrice14</stp>
        <tr r="A398" s="1"/>
      </tp>
      <tp t="e">
        <v>#N/A</v>
        <stp/>
        <stp>FWRC1#EURINR#Month Wise Rates#0#BidPrice13</stp>
        <tr r="A394" s="1"/>
      </tp>
      <tp t="e">
        <v>#N/A</v>
        <stp/>
        <stp>FWRC1#EURINR#Month Wise Rates#0#BidPrice12</stp>
        <tr r="A390" s="1"/>
      </tp>
      <tp t="e">
        <v>#N/A</v>
        <stp/>
        <stp>FWRC1#EURINR#Month Wise Rates#0#BidPrice11</stp>
        <tr r="A386" s="1"/>
      </tp>
      <tp t="e">
        <v>#N/A</v>
        <stp/>
        <stp>FWRC1#EURINR#Month Wise Rates#0#BidPrice10</stp>
        <tr r="A382" s="1"/>
      </tp>
      <tp t="e">
        <v>#N/A</v>
        <stp/>
        <stp>17#3#1#5978#JPYINRCOMP#Open</stp>
        <tr r="A25" s="1"/>
      </tp>
      <tp t="e">
        <v>#N/A</v>
        <stp/>
        <stp>FWRC1#JPYINR#Month Wise Rates#0#BidPrice18</stp>
        <tr r="A571" s="1"/>
      </tp>
      <tp t="e">
        <v>#N/A</v>
        <stp/>
        <stp>FWRC1#JPYINR#Month Wise Rates#0#BidPrice17</stp>
        <tr r="A567" s="1"/>
      </tp>
      <tp t="e">
        <v>#N/A</v>
        <stp/>
        <stp>FWRC1#JPYINR#Month Wise Rates#0#BidPrice16</stp>
        <tr r="A563" s="1"/>
      </tp>
      <tp t="e">
        <v>#N/A</v>
        <stp/>
        <stp>FWRC1#JPYINR#Month Wise Rates#0#BidPrice15</stp>
        <tr r="A559" s="1"/>
      </tp>
      <tp t="e">
        <v>#N/A</v>
        <stp/>
        <stp>FWRC1#JPYINR#Month Wise Rates#0#BidPrice14</stp>
        <tr r="A555" s="1"/>
      </tp>
      <tp t="e">
        <v>#N/A</v>
        <stp/>
        <stp>FWRC1#JPYINR#Month Wise Rates#0#BidPrice13</stp>
        <tr r="A551" s="1"/>
      </tp>
      <tp t="e">
        <v>#N/A</v>
        <stp/>
        <stp>FWRC1#JPYINR#Month Wise Rates#0#BidPrice12</stp>
        <tr r="A547" s="1"/>
      </tp>
      <tp t="e">
        <v>#N/A</v>
        <stp/>
        <stp>FWRC1#JPYINR#Month Wise Rates#0#BidPrice11</stp>
        <tr r="A543" s="1"/>
      </tp>
      <tp t="e">
        <v>#N/A</v>
        <stp/>
        <stp>FWRC1#JPYINR#Month Wise Rates#0#BidPrice10</stp>
        <tr r="A539" s="1"/>
      </tp>
      <tp t="e">
        <v>#N/A</v>
        <stp/>
        <stp>FWRC1#JPYINR#Month Wise Rates#0#AskPrice15</stp>
        <tr r="A560" s="1"/>
      </tp>
      <tp t="e">
        <v>#N/A</v>
        <stp/>
        <stp>FWRC1#JPYINR#Month Wise Rates#0#AskPrice14</stp>
        <tr r="A556" s="1"/>
      </tp>
      <tp t="e">
        <v>#N/A</v>
        <stp/>
        <stp>FWRC1#JPYINR#Month Wise Rates#0#AskPrice17</stp>
        <tr r="A568" s="1"/>
      </tp>
      <tp t="e">
        <v>#N/A</v>
        <stp/>
        <stp>FWRC1#JPYINR#Month Wise Rates#0#AskPrice16</stp>
        <tr r="A564" s="1"/>
      </tp>
      <tp t="e">
        <v>#N/A</v>
        <stp/>
        <stp>FWRC1#JPYINR#Month Wise Rates#0#AskPrice11</stp>
        <tr r="A544" s="1"/>
      </tp>
      <tp t="e">
        <v>#N/A</v>
        <stp/>
        <stp>FWRC1#JPYINR#Month Wise Rates#0#AskPrice10</stp>
        <tr r="A540" s="1"/>
      </tp>
      <tp t="e">
        <v>#N/A</v>
        <stp/>
        <stp>FWRC1#JPYINR#Month Wise Rates#0#AskPrice13</stp>
        <tr r="A552" s="1"/>
      </tp>
      <tp t="e">
        <v>#N/A</v>
        <stp/>
        <stp>FWRC1#JPYINR#Month Wise Rates#0#AskPrice12</stp>
        <tr r="A548" s="1"/>
      </tp>
      <tp t="e">
        <v>#N/A</v>
        <stp/>
        <stp>FWRC1#JPYINR#Month Wise Rates#0#AskPrice18</stp>
        <tr r="A572" s="1"/>
      </tp>
      <tp t="e">
        <v>#N/A</v>
        <stp/>
        <stp>FWRC1#JPYINR#Month Wise Rates#0#FwdOutrightAsk8</stp>
        <tr r="A579" s="1"/>
      </tp>
      <tp t="e">
        <v>#N/A</v>
        <stp/>
        <stp>FWRC1#JPYINR#Month Wise Rates#0#FwdOutrightAsk9</stp>
        <tr r="A581" s="1"/>
      </tp>
      <tp t="e">
        <v>#N/A</v>
        <stp/>
        <stp>FWRC1#JPYINR#Month Wise Rates#0#FwdOutrightAsk7</stp>
        <tr r="A577" s="1"/>
      </tp>
      <tp t="e">
        <v>#N/A</v>
        <stp/>
        <stp>17#3#1#6031#GBPINRCOMP#Open</stp>
        <tr r="A24" s="1"/>
      </tp>
      <tp t="e">
        <v>#N/A</v>
        <stp/>
        <stp>FWRC1#GBPINR#Month Wise Rates#1#Bid%12</stp>
        <tr r="A879" s="1"/>
        <tr r="A896" s="1"/>
        <tr r="A912" s="1"/>
      </tp>
      <tp t="e">
        <v>#N/A</v>
        <stp/>
        <stp>FWRC1#GBPINR#Month Wise Rates#1#Bid%10</stp>
        <tr r="A878" s="1"/>
        <tr r="A895" s="1"/>
        <tr r="A911" s="1"/>
      </tp>
      <tp t="e">
        <v>#N/A</v>
        <stp/>
        <stp>FWRC1#GBPINR#Month Wise Rates#1#Bid%18</stp>
        <tr r="A880" s="1"/>
        <tr r="A897" s="1"/>
        <tr r="A913" s="1"/>
      </tp>
      <tp t="e">
        <v>#N/A</v>
        <stp/>
        <stp>17#3#1#6031#GBPINRCOMP#Close</stp>
        <tr r="A28" s="1"/>
      </tp>
      <tp t="e">
        <v>#N/A</v>
        <stp/>
        <stp>FWRC1#EURUSD#Month Wise Rates#0#FwdOutrightAsk8</stp>
        <tr r="A660" s="1"/>
      </tp>
      <tp t="e">
        <v>#N/A</v>
        <stp/>
        <stp>FWRC1#EURUSD#Month Wise Rates#0#FwdOutrightAsk9</stp>
        <tr r="A662" s="1"/>
      </tp>
      <tp t="e">
        <v>#N/A</v>
        <stp/>
        <stp>FWRC1#EURUSD#Month Wise Rates#0#FwdOutrightAsk7</stp>
        <tr r="A658" s="1"/>
      </tp>
      <tp t="e">
        <v>#N/A</v>
        <stp/>
        <stp>FWRC1#EURUSD#Month Wise Rates#0#FwdOutrightAsk2</stp>
        <tr r="A656" s="1"/>
      </tp>
      <tp t="e">
        <v>#N/A</v>
        <stp/>
        <stp>FWRC1#EURINR#Month Wise Rates#0#FwdOutrightAsk7</stp>
        <tr r="A420" s="1"/>
      </tp>
      <tp t="e">
        <v>#N/A</v>
        <stp/>
        <stp>FWRC1#EURINR#Month Wise Rates#0#FwdOutrightAsk9</stp>
        <tr r="A424" s="1"/>
      </tp>
      <tp t="e">
        <v>#N/A</v>
        <stp/>
        <stp>FWRC1#EURINR#Month Wise Rates#0#FwdOutrightAsk8</stp>
        <tr r="A422" s="1"/>
      </tp>
      <tp t="e">
        <v>#N/A</v>
        <stp/>
        <stp>17#1#1#6069#USDINRCOMP#High</stp>
        <tr r="A14" s="1"/>
      </tp>
      <tp t="e">
        <v>#N/A</v>
        <stp/>
        <stp>17#3#1#5949#EURINRCOMP#Open</stp>
        <tr r="A23" s="1"/>
        <tr r="A1" s="1"/>
      </tp>
      <tp t="e">
        <v>#N/A</v>
        <stp/>
        <stp>FWRC1#GBPUSD#Month Wise Rates#0#FwdOutrightAsk8</stp>
        <tr r="A741" s="1"/>
      </tp>
      <tp t="e">
        <v>#N/A</v>
        <stp/>
        <stp>FWRC1#GBPUSD#Month Wise Rates#0#FwdOutrightAsk9</stp>
        <tr r="A743" s="1"/>
      </tp>
      <tp t="e">
        <v>#N/A</v>
        <stp/>
        <stp>FWRC1#GBPUSD#Month Wise Rates#0#FwdOutrightAsk7</stp>
        <tr r="A739" s="1"/>
      </tp>
      <tp t="e">
        <v>#N/A</v>
        <stp/>
        <stp>FWRC1#GBPUSD#Month Wise Rates#0#FwdOutrightAsk2</stp>
        <tr r="A737" s="1"/>
      </tp>
      <tp t="e">
        <v>#N/A</v>
        <stp/>
        <stp>FWRC1#USDJPY#Month Wise Rates#0#BidPrice18</stp>
        <tr r="A812" s="1"/>
      </tp>
      <tp t="e">
        <v>#N/A</v>
        <stp/>
        <stp>FWRC1#USDJPY#Month Wise Rates#0#BidPrice14</stp>
        <tr r="A796" s="1"/>
      </tp>
      <tp t="e">
        <v>#N/A</v>
        <stp/>
        <stp>FWRC1#USDJPY#Month Wise Rates#0#BidPrice15</stp>
        <tr r="A800" s="1"/>
      </tp>
      <tp t="e">
        <v>#N/A</v>
        <stp/>
        <stp>FWRC1#USDJPY#Month Wise Rates#0#BidPrice16</stp>
        <tr r="A804" s="1"/>
      </tp>
      <tp t="e">
        <v>#N/A</v>
        <stp/>
        <stp>FWRC1#USDJPY#Month Wise Rates#0#BidPrice17</stp>
        <tr r="A808" s="1"/>
      </tp>
      <tp t="e">
        <v>#N/A</v>
        <stp/>
        <stp>FWRC1#USDJPY#Month Wise Rates#0#BidPrice10</stp>
        <tr r="A780" s="1"/>
      </tp>
      <tp t="e">
        <v>#N/A</v>
        <stp/>
        <stp>FWRC1#USDJPY#Month Wise Rates#0#BidPrice11</stp>
        <tr r="A784" s="1"/>
      </tp>
      <tp t="e">
        <v>#N/A</v>
        <stp/>
        <stp>FWRC1#USDJPY#Month Wise Rates#0#BidPrice12</stp>
        <tr r="A788" s="1"/>
      </tp>
      <tp t="e">
        <v>#N/A</v>
        <stp/>
        <stp>FWRC1#USDJPY#Month Wise Rates#0#BidPrice13</stp>
        <tr r="A792" s="1"/>
      </tp>
      <tp t="e">
        <v>#N/A</v>
        <stp/>
        <stp>FWRC1#GBPINR#Month Wise Rates#0#FwdOutrightAsk7</stp>
        <tr r="A498" s="1"/>
      </tp>
      <tp t="e">
        <v>#N/A</v>
        <stp/>
        <stp>FWRC1#GBPINR#Month Wise Rates#0#FwdOutrightAsk9</stp>
        <tr r="A502" s="1"/>
      </tp>
      <tp t="e">
        <v>#N/A</v>
        <stp/>
        <stp>FWRC1#GBPINR#Month Wise Rates#0#FwdOutrightAsk8</stp>
        <tr r="A500" s="1"/>
      </tp>
      <tp t="e">
        <v>#N/A</v>
        <stp/>
        <stp>FWRC1#USDJPY#Month Wise Rates#0#AskPrice16</stp>
        <tr r="A805" s="1"/>
      </tp>
      <tp t="e">
        <v>#N/A</v>
        <stp/>
        <stp>FWRC1#USDJPY#Month Wise Rates#0#AskPrice17</stp>
        <tr r="A809" s="1"/>
      </tp>
      <tp t="e">
        <v>#N/A</v>
        <stp/>
        <stp>FWRC1#USDJPY#Month Wise Rates#0#AskPrice14</stp>
        <tr r="A797" s="1"/>
      </tp>
      <tp t="e">
        <v>#N/A</v>
        <stp/>
        <stp>FWRC1#USDJPY#Month Wise Rates#0#AskPrice15</stp>
        <tr r="A801" s="1"/>
      </tp>
      <tp t="e">
        <v>#N/A</v>
        <stp/>
        <stp>FWRC1#USDJPY#Month Wise Rates#0#AskPrice12</stp>
        <tr r="A789" s="1"/>
      </tp>
      <tp t="e">
        <v>#N/A</v>
        <stp/>
        <stp>FWRC1#USDJPY#Month Wise Rates#0#AskPrice13</stp>
        <tr r="A793" s="1"/>
      </tp>
      <tp t="e">
        <v>#N/A</v>
        <stp/>
        <stp>FWRC1#USDJPY#Month Wise Rates#0#AskPrice10</stp>
        <tr r="A781" s="1"/>
      </tp>
      <tp t="e">
        <v>#N/A</v>
        <stp/>
        <stp>FWRC1#USDJPY#Month Wise Rates#0#AskPrice11</stp>
        <tr r="A785" s="1"/>
      </tp>
      <tp t="e">
        <v>#N/A</v>
        <stp/>
        <stp>FWRC1#USDJPY#Month Wise Rates#0#AskPrice18</stp>
        <tr r="A813" s="1"/>
      </tp>
      <tp t="e">
        <v>#N/A</v>
        <stp/>
        <stp>FWRC1#USDINR#Month End Rates#0#S#MonthEndDate15</stp>
        <tr r="A260" s="1"/>
      </tp>
      <tp t="e">
        <v>#N/A</v>
        <stp/>
        <stp>FWRC1#USDINR#Month End Rates#0#S#MonthEndDate14</stp>
        <tr r="A256" s="1"/>
      </tp>
      <tp t="e">
        <v>#N/A</v>
        <stp/>
        <stp>FWRC1#USDINR#Month End Rates#0#S#MonthEndDate11</stp>
        <tr r="A244" s="1"/>
      </tp>
      <tp t="e">
        <v>#N/A</v>
        <stp/>
        <stp>FWRC1#USDINR#Month End Rates#0#S#MonthEndDate10</stp>
        <tr r="A240" s="1"/>
      </tp>
      <tp t="e">
        <v>#N/A</v>
        <stp/>
        <stp>FWRC1#USDINR#Month End Rates#0#S#MonthEndDate13</stp>
        <tr r="A252" s="1"/>
      </tp>
      <tp t="e">
        <v>#N/A</v>
        <stp/>
        <stp>FWRC1#USDINR#Month End Rates#0#S#MonthEndDate12</stp>
        <tr r="A248" s="1"/>
      </tp>
      <tp t="e">
        <v>#N/A</v>
        <stp/>
        <stp>35#1#1#6069#FUTCUR#1130457600#0#XX#Ask</stp>
        <tr r="A211" s="1"/>
      </tp>
      <tp t="e">
        <v>#N/A</v>
        <stp/>
        <stp>35#1#1#6069#FUTCUR#1130457600#0#XX#Bid</stp>
        <tr r="A208" s="1"/>
      </tp>
      <tp t="e">
        <v>#N/A</v>
        <stp/>
        <stp>FWRC1#GBPINR#Month Wise Rates#0#BidPrice18</stp>
        <tr r="A492" s="1"/>
      </tp>
      <tp t="e">
        <v>#N/A</v>
        <stp/>
        <stp>FWRC1#GBPINR#Month Wise Rates#0#BidPrice17</stp>
        <tr r="A488" s="1"/>
      </tp>
      <tp t="e">
        <v>#N/A</v>
        <stp/>
        <stp>FWRC1#GBPINR#Month Wise Rates#0#BidPrice16</stp>
        <tr r="A484" s="1"/>
      </tp>
      <tp t="e">
        <v>#N/A</v>
        <stp/>
        <stp>FWRC1#GBPINR#Month Wise Rates#0#BidPrice15</stp>
        <tr r="A480" s="1"/>
      </tp>
      <tp t="e">
        <v>#N/A</v>
        <stp/>
        <stp>FWRC1#GBPINR#Month Wise Rates#0#BidPrice14</stp>
        <tr r="A476" s="1"/>
      </tp>
      <tp t="e">
        <v>#N/A</v>
        <stp/>
        <stp>FWRC1#GBPINR#Month Wise Rates#0#BidPrice13</stp>
        <tr r="A472" s="1"/>
      </tp>
      <tp t="e">
        <v>#N/A</v>
        <stp/>
        <stp>FWRC1#GBPINR#Month Wise Rates#0#BidPrice12</stp>
        <tr r="A468" s="1"/>
      </tp>
      <tp t="e">
        <v>#N/A</v>
        <stp/>
        <stp>FWRC1#GBPINR#Month Wise Rates#0#BidPrice11</stp>
        <tr r="A464" s="1"/>
      </tp>
      <tp t="e">
        <v>#N/A</v>
        <stp/>
        <stp>FWRC1#GBPINR#Month Wise Rates#0#BidPrice10</stp>
        <tr r="A460" s="1"/>
      </tp>
      <tp t="e">
        <v>#N/A</v>
        <stp/>
        <stp>FWRC1#GBPINR#Month Wise Rates#0#AskPrice15</stp>
        <tr r="A481" s="1"/>
      </tp>
      <tp t="e">
        <v>#N/A</v>
        <stp/>
        <stp>FWRC1#GBPINR#Month Wise Rates#0#AskPrice14</stp>
        <tr r="A477" s="1"/>
      </tp>
      <tp t="e">
        <v>#N/A</v>
        <stp/>
        <stp>FWRC1#GBPINR#Month Wise Rates#0#AskPrice17</stp>
        <tr r="A489" s="1"/>
      </tp>
      <tp t="e">
        <v>#N/A</v>
        <stp/>
        <stp>FWRC1#GBPINR#Month Wise Rates#0#AskPrice16</stp>
        <tr r="A485" s="1"/>
      </tp>
      <tp t="e">
        <v>#N/A</v>
        <stp/>
        <stp>FWRC1#GBPINR#Month Wise Rates#0#AskPrice11</stp>
        <tr r="A465" s="1"/>
      </tp>
      <tp t="e">
        <v>#N/A</v>
        <stp/>
        <stp>FWRC1#GBPINR#Month Wise Rates#0#AskPrice10</stp>
        <tr r="A461" s="1"/>
      </tp>
      <tp t="e">
        <v>#N/A</v>
        <stp/>
        <stp>FWRC1#GBPINR#Month Wise Rates#0#AskPrice13</stp>
        <tr r="A473" s="1"/>
      </tp>
      <tp t="e">
        <v>#N/A</v>
        <stp/>
        <stp>FWRC1#GBPINR#Month Wise Rates#0#AskPrice12</stp>
        <tr r="A469" s="1"/>
      </tp>
      <tp t="e">
        <v>#N/A</v>
        <stp/>
        <stp>FWRC1#GBPINR#Month Wise Rates#0#AskPrice18</stp>
        <tr r="A493" s="1"/>
      </tp>
      <tp t="e">
        <v>#N/A</v>
        <stp/>
        <stp>FWRC1#GBPUSD#Month Wise Rates#0#FwdOutrightBid8</stp>
        <tr r="A740" s="1"/>
      </tp>
      <tp t="e">
        <v>#N/A</v>
        <stp/>
        <stp>FWRC1#GBPUSD#Month Wise Rates#0#FwdOutrightBid9</stp>
        <tr r="A742" s="1"/>
      </tp>
      <tp t="e">
        <v>#N/A</v>
        <stp/>
        <stp>FWRC1#GBPUSD#Month Wise Rates#0#FwdOutrightBid7</stp>
        <tr r="A738" s="1"/>
      </tp>
      <tp t="e">
        <v>#N/A</v>
        <stp/>
        <stp>FWRC1#GBPUSD#Month Wise Rates#0#FwdOutrightBid2</stp>
        <tr r="A736" s="1"/>
      </tp>
      <tp t="e">
        <v>#N/A</v>
        <stp/>
        <stp>FWRC1#GBPINR#Month Wise Rates#0#FwdOutrightBid7</stp>
        <tr r="A497" s="1"/>
      </tp>
      <tp t="e">
        <v>#N/A</v>
        <stp/>
        <stp>FWRC1#GBPINR#Month Wise Rates#0#FwdOutrightBid9</stp>
        <tr r="A501" s="1"/>
      </tp>
      <tp t="e">
        <v>#N/A</v>
        <stp/>
        <stp>FWRC1#GBPINR#Month Wise Rates#0#FwdOutrightBid8</stp>
        <tr r="A499" s="1"/>
      </tp>
      <tp t="e">
        <v>#N/A</v>
        <stp/>
        <stp>FWRC1#EURUSD#Month Wise Rates#0#AskPrice18</stp>
        <tr r="A651" s="1"/>
      </tp>
      <tp t="e">
        <v>#N/A</v>
        <stp/>
        <stp>FWRC1#EURUSD#Month Wise Rates#0#AskPrice11</stp>
        <tr r="A623" s="1"/>
      </tp>
      <tp t="e">
        <v>#N/A</v>
        <stp/>
        <stp>FWRC1#EURUSD#Month Wise Rates#0#AskPrice10</stp>
        <tr r="A619" s="1"/>
      </tp>
      <tp t="e">
        <v>#N/A</v>
        <stp/>
        <stp>FWRC1#EURUSD#Month Wise Rates#0#AskPrice13</stp>
        <tr r="A631" s="1"/>
      </tp>
      <tp t="e">
        <v>#N/A</v>
        <stp/>
        <stp>FWRC1#EURUSD#Month Wise Rates#0#AskPrice12</stp>
        <tr r="A627" s="1"/>
      </tp>
      <tp t="e">
        <v>#N/A</v>
        <stp/>
        <stp>FWRC1#EURUSD#Month Wise Rates#0#AskPrice15</stp>
        <tr r="A639" s="1"/>
      </tp>
      <tp t="e">
        <v>#N/A</v>
        <stp/>
        <stp>FWRC1#EURUSD#Month Wise Rates#0#AskPrice14</stp>
        <tr r="A635" s="1"/>
      </tp>
      <tp t="e">
        <v>#N/A</v>
        <stp/>
        <stp>FWRC1#EURUSD#Month Wise Rates#0#AskPrice17</stp>
        <tr r="A647" s="1"/>
      </tp>
      <tp t="e">
        <v>#N/A</v>
        <stp/>
        <stp>FWRC1#EURUSD#Month Wise Rates#0#AskPrice16</stp>
        <tr r="A643" s="1"/>
      </tp>
      <tp t="e">
        <v>#N/A</v>
        <stp/>
        <stp>FWRC1#EURUSD#Month Wise Rates#0#BidPrice13</stp>
        <tr r="A630" s="1"/>
      </tp>
      <tp t="e">
        <v>#N/A</v>
        <stp/>
        <stp>FWRC1#EURUSD#Month Wise Rates#0#BidPrice12</stp>
        <tr r="A626" s="1"/>
      </tp>
      <tp t="e">
        <v>#N/A</v>
        <stp/>
        <stp>FWRC1#EURUSD#Month Wise Rates#0#BidPrice11</stp>
        <tr r="A622" s="1"/>
      </tp>
      <tp t="e">
        <v>#N/A</v>
        <stp/>
        <stp>FWRC1#EURUSD#Month Wise Rates#0#BidPrice10</stp>
        <tr r="A618" s="1"/>
      </tp>
      <tp t="e">
        <v>#N/A</v>
        <stp/>
        <stp>FWRC1#EURUSD#Month Wise Rates#0#BidPrice17</stp>
        <tr r="A646" s="1"/>
      </tp>
      <tp t="e">
        <v>#N/A</v>
        <stp/>
        <stp>FWRC1#EURUSD#Month Wise Rates#0#BidPrice16</stp>
        <tr r="A642" s="1"/>
      </tp>
      <tp t="e">
        <v>#N/A</v>
        <stp/>
        <stp>FWRC1#EURUSD#Month Wise Rates#0#BidPrice15</stp>
        <tr r="A638" s="1"/>
      </tp>
      <tp t="e">
        <v>#N/A</v>
        <stp/>
        <stp>FWRC1#EURUSD#Month Wise Rates#0#BidPrice14</stp>
        <tr r="A634" s="1"/>
      </tp>
      <tp t="e">
        <v>#N/A</v>
        <stp/>
        <stp>FWRC1#EURUSD#Month Wise Rates#0#BidPrice18</stp>
        <tr r="A650" s="1"/>
      </tp>
      <tp t="e">
        <v>#N/A</v>
        <stp/>
        <stp>17#1#1#6069#USDINRCOMP#Open</stp>
        <tr r="A22" s="1"/>
      </tp>
      <tp t="e">
        <v>#N/A</v>
        <stp/>
        <stp>17#3#1#5949#EURINRCOMP#High</stp>
        <tr r="A15" s="1"/>
      </tp>
      <tp t="e">
        <v>#N/A</v>
        <stp/>
        <stp>FWRC1#EURUSD#Month Wise Rates#0#FwdOutrightBid8</stp>
        <tr r="A659" s="1"/>
      </tp>
      <tp t="e">
        <v>#N/A</v>
        <stp/>
        <stp>FWRC1#EURUSD#Month Wise Rates#0#FwdOutrightBid9</stp>
        <tr r="A661" s="1"/>
      </tp>
      <tp t="e">
        <v>#N/A</v>
        <stp/>
        <stp>FWRC1#EURUSD#Month Wise Rates#0#FwdOutrightBid7</stp>
        <tr r="A657" s="1"/>
      </tp>
      <tp t="e">
        <v>#N/A</v>
        <stp/>
        <stp>FWRC1#EURUSD#Month Wise Rates#0#FwdOutrightBid2</stp>
        <tr r="A655" s="1"/>
      </tp>
      <tp t="e">
        <v>#N/A</v>
        <stp/>
        <stp>FWRC1#EURINR#Month Wise Rates#0#FwdOutrightBid7</stp>
        <tr r="A419" s="1"/>
      </tp>
      <tp t="e">
        <v>#N/A</v>
        <stp/>
        <stp>FWRC1#EURINR#Month Wise Rates#0#FwdOutrightBid9</stp>
        <tr r="A423" s="1"/>
      </tp>
      <tp t="e">
        <v>#N/A</v>
        <stp/>
        <stp>FWRC1#EURINR#Month Wise Rates#0#FwdOutrightBid8</stp>
        <tr r="A421" s="1"/>
      </tp>
      <tp t="e">
        <v>#N/A</v>
        <stp/>
        <stp>17#1#1#6069#USDINRCOMP#Close</stp>
        <tr r="A26" s="1"/>
      </tp>
      <tp t="e">
        <v>#N/A</v>
        <stp/>
        <stp>FWRC1#USDINR#Month End Rates#0#S#Desc.7</stp>
        <tr r="A227" s="1"/>
      </tp>
      <tp t="e">
        <v>#N/A</v>
        <stp/>
        <stp>FWRC1#USDINR#Month End Rates#0#S#Desc.6</stp>
        <tr r="A223" s="1"/>
      </tp>
      <tp t="e">
        <v>#N/A</v>
        <stp/>
        <stp>FWRC1#USDINR#Month End Rates#0#S#Desc.5</stp>
        <tr r="A219" s="1"/>
      </tp>
      <tp t="e">
        <v>#N/A</v>
        <stp/>
        <stp>FWRC1#USDINR#Month End Rates#0#S#Desc.4</stp>
        <tr r="A215" s="1"/>
      </tp>
      <tp t="e">
        <v>#N/A</v>
        <stp/>
        <stp>FWRC1#USDINR#Month End Rates#0#S#Desc.9</stp>
        <tr r="A235" s="1"/>
      </tp>
      <tp t="e">
        <v>#N/A</v>
        <stp/>
        <stp>FWRC1#USDINR#Month End Rates#0#S#Desc.8</stp>
        <tr r="A231" s="1"/>
      </tp>
      <tp t="e">
        <v>#N/A</v>
        <stp/>
        <stp>FWRC1#USDINR#Month Wise Rates#1#Bid%12</stp>
        <tr r="A871" s="1"/>
        <tr r="A887" s="1"/>
        <tr r="A888" s="1"/>
        <tr r="A904" s="1"/>
      </tp>
      <tp t="e">
        <v>#N/A</v>
        <stp/>
        <stp>FWRC1#USDINR#Month Wise Rates#1#Bid%18</stp>
        <tr r="A872" s="1"/>
        <tr r="A889" s="1"/>
        <tr r="A905" s="1"/>
      </tp>
      <tp t="e">
        <v>#N/A</v>
        <stp/>
        <stp>17#3#1#5978#JPYINRCOMP#Close</stp>
        <tr r="A29" s="1"/>
      </tp>
      <tp t="e">
        <v>#N/A</v>
        <stp/>
        <stp>FWRC1#JPYINR#Month Wise Rates#1#Bid%12</stp>
        <tr r="A883" s="1"/>
        <tr r="A900" s="1"/>
        <tr r="A916" s="1"/>
      </tp>
      <tp t="e">
        <v>#N/A</v>
        <stp/>
        <stp>FWRC1#JPYINR#Month Wise Rates#1#Bid%18</stp>
        <tr r="A884" s="1"/>
        <tr r="A901" s="1"/>
        <tr r="A917" s="1"/>
      </tp>
      <tp t="e">
        <v>#N/A</v>
        <stp/>
        <stp>FWRC1#USDJPY#Month Wise Rates#0#FwdOutrightAsk9</stp>
        <tr r="A825" s="1"/>
      </tp>
      <tp t="e">
        <v>#N/A</v>
        <stp/>
        <stp>FWRC1#USDJPY#Month Wise Rates#0#FwdOutrightAsk8</stp>
        <tr r="A823" s="1"/>
      </tp>
      <tp t="e">
        <v>#N/A</v>
        <stp/>
        <stp>FWRC1#USDJPY#Month Wise Rates#0#FwdOutrightAsk7</stp>
        <tr r="A821" s="1"/>
      </tp>
      <tp t="e">
        <v>#N/A</v>
        <stp/>
        <stp>FWRC1#USDJPY#Month Wise Rates#0#FwdOutrightAsk2</stp>
        <tr r="A819" s="1"/>
      </tp>
      <tp t="e">
        <v>#N/A</v>
        <stp/>
        <stp>FWRC1#USDINR#Month Wise Rates#1#FwdOutrightAsk7</stp>
        <tr r="A342" s="1"/>
      </tp>
      <tp t="e">
        <v>#N/A</v>
        <stp/>
        <stp>FWRC1#USDINR#Month Wise Rates#1#FwdOutrightAsk8</stp>
        <tr r="A344" s="1"/>
      </tp>
      <tp t="e">
        <v>#N/A</v>
        <stp/>
        <stp>FWRC1#USDINR#Month Wise Rates#1#FwdOutrightAsk9</stp>
        <tr r="A346" s="1"/>
      </tp>
      <tp t="e">
        <v>#N/A</v>
        <stp/>
        <stp>17#3#1#5978#JPYINRCOMP#High</stp>
        <tr r="A17" s="1"/>
      </tp>
      <tp t="e">
        <v>#N/A</v>
        <stp/>
        <stp>17#3#1#5949#EURINRCOMP#Close</stp>
        <tr r="A27" s="1"/>
      </tp>
      <tp t="e">
        <v>#N/A</v>
        <stp/>
        <stp>FWRC1#JPYINR#Month Wise Rates#0#FwdOutrightBid8</stp>
        <tr r="A578" s="1"/>
      </tp>
      <tp t="e">
        <v>#N/A</v>
        <stp/>
        <stp>FWRC1#JPYINR#Month Wise Rates#0#FwdOutrightBid9</stp>
        <tr r="A580" s="1"/>
      </tp>
      <tp t="e">
        <v>#N/A</v>
        <stp/>
        <stp>FWRC1#JPYINR#Month Wise Rates#0#FwdOutrightBid7</stp>
        <tr r="A576" s="1"/>
      </tp>
      <tp t="e">
        <v>#N/A</v>
        <stp/>
        <stp>35#1#1#6069#FUTCUR#1127865600#0#XX#Ask</stp>
        <tr r="A210" s="1"/>
      </tp>
      <tp t="e">
        <v>#N/A</v>
        <stp/>
        <stp>35#1#1#6069#FUTCUR#1127865600#0#XX#Bid</stp>
        <tr r="A207" s="1"/>
      </tp>
      <tp t="e">
        <v>#N/A</v>
        <stp/>
        <stp>17#3#1#6031#GBPINRCOMP#High</stp>
        <tr r="A16" s="1"/>
      </tp>
      <tp t="e">
        <v>#N/A</v>
        <stp/>
        <stp>FWRC1#EURINR#Month Wise Rates#1#Bid%12</stp>
        <tr r="A875" s="1"/>
        <tr r="A892" s="1"/>
        <tr r="A908" s="1"/>
      </tp>
      <tp t="e">
        <v>#N/A</v>
        <stp/>
        <stp>FWRC1#EURINR#Month Wise Rates#1#Bid%18</stp>
        <tr r="A876" s="1"/>
        <tr r="A893" s="1"/>
        <tr r="A909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917"/>
  <sheetViews>
    <sheetView tabSelected="1" topLeftCell="A866" workbookViewId="0">
      <selection activeCell="A869" sqref="A869:A917"/>
    </sheetView>
  </sheetViews>
  <sheetFormatPr defaultRowHeight="15"/>
  <cols>
    <col min="1" max="1" width="17" style="1" customWidth="1"/>
    <col min="2" max="2" width="26.140625" bestFit="1" customWidth="1"/>
  </cols>
  <sheetData>
    <row r="1" spans="1:2" ht="17.25">
      <c r="A1" s="8" t="e">
        <f>RTD("tickerplantrtdserver",,"17#3#1#5949#EURINRCOMP#Open")</f>
        <v>#N/A</v>
      </c>
      <c r="B1" s="50" t="s">
        <v>0</v>
      </c>
    </row>
    <row r="2" spans="1:2" ht="19.5">
      <c r="A2" s="9" t="e">
        <f>RTD("tickerplantrtdserver",,"17#1#1#6069#USDINRCOMP#Bid")</f>
        <v>#N/A</v>
      </c>
    </row>
    <row r="3" spans="1:2" ht="19.5">
      <c r="A3" s="9" t="e">
        <f>RTD("tickerplantrtdserver",,"17#3#1#5949#EURINRCOMP#Bid")</f>
        <v>#N/A</v>
      </c>
    </row>
    <row r="4" spans="1:2" ht="19.5">
      <c r="A4" s="10" t="e">
        <f>RTD("tickerplantrtdserver",,"17#3#1#6031#GBPINRCOMP#Bid")</f>
        <v>#N/A</v>
      </c>
    </row>
    <row r="5" spans="1:2" ht="19.5">
      <c r="A5" s="10" t="e">
        <f>RTD("tickerplantrtdserver",,"17#3#1#5978#JPYINRCOMP#Bid")</f>
        <v>#N/A</v>
      </c>
    </row>
    <row r="6" spans="1:2" ht="19.5">
      <c r="A6" s="11" t="e">
        <f>RTD("tickerplantrtdserver",,"17#1#1#6069#USDINRCOMP#Ask")</f>
        <v>#N/A</v>
      </c>
      <c r="B6" t="s">
        <v>41</v>
      </c>
    </row>
    <row r="7" spans="1:2" ht="19.5">
      <c r="A7" s="12" t="e">
        <f>RTD("tickerplantrtdserver",,"17#3#1#5949#EURINRCOMP#Ask")</f>
        <v>#N/A</v>
      </c>
    </row>
    <row r="8" spans="1:2" ht="19.5">
      <c r="A8" s="12" t="e">
        <f>RTD("tickerplantrtdserver",,"17#3#1#6031#GBPINRCOMP#Ask")</f>
        <v>#N/A</v>
      </c>
    </row>
    <row r="9" spans="1:2" ht="19.5">
      <c r="A9" s="12" t="e">
        <f>RTD("tickerplantrtdserver",,"17#3#1#5978#JPYINRCOMP#Ask")</f>
        <v>#N/A</v>
      </c>
    </row>
    <row r="10" spans="1:2" ht="19.5">
      <c r="A10" s="13" t="e">
        <f>RTD("tickerplantrtdserver",,"17#1#1#6069#USDINRCOMP#%Chg")</f>
        <v>#N/A</v>
      </c>
      <c r="B10" t="s">
        <v>4</v>
      </c>
    </row>
    <row r="11" spans="1:2" ht="19.5">
      <c r="A11" s="14" t="e">
        <f>RTD("tickerplantrtdserver",,"17#3#1#5949#EURINRCOMP#%Chg")</f>
        <v>#N/A</v>
      </c>
    </row>
    <row r="12" spans="1:2" ht="19.5">
      <c r="A12" s="14" t="e">
        <f>RTD("tickerplantrtdserver",,"17#3#1#6031#GBPINRCOMP#%Chg")</f>
        <v>#N/A</v>
      </c>
    </row>
    <row r="13" spans="1:2" ht="19.5">
      <c r="A13" s="14" t="e">
        <f>RTD("tickerplantrtdserver",,"17#3#1#5978#JPYINRCOMP#%Chg")</f>
        <v>#N/A</v>
      </c>
    </row>
    <row r="14" spans="1:2" ht="17.25">
      <c r="A14" s="15" t="e">
        <f>RTD("tickerplantrtdserver",,"17#1#1#6069#USDINRCOMP#High")</f>
        <v>#N/A</v>
      </c>
      <c r="B14" t="s">
        <v>42</v>
      </c>
    </row>
    <row r="15" spans="1:2" ht="17.25">
      <c r="A15" s="8" t="e">
        <f>RTD("tickerplantrtdserver",,"17#3#1#5949#EURINRCOMP#High")</f>
        <v>#N/A</v>
      </c>
    </row>
    <row r="16" spans="1:2" ht="17.25">
      <c r="A16" s="8" t="e">
        <f>RTD("tickerplantrtdserver",,"17#3#1#6031#GBPINRCOMP#High")</f>
        <v>#N/A</v>
      </c>
    </row>
    <row r="17" spans="1:2" ht="17.25">
      <c r="A17" s="8" t="e">
        <f>RTD("tickerplantrtdserver",,"17#3#1#5978#JPYINRCOMP#High")</f>
        <v>#N/A</v>
      </c>
    </row>
    <row r="18" spans="1:2" ht="17.25">
      <c r="A18" s="15" t="e">
        <f>RTD("tickerplantrtdserver",,"17#1#1#6069#USDINRCOMP#Low")</f>
        <v>#N/A</v>
      </c>
      <c r="B18" t="s">
        <v>43</v>
      </c>
    </row>
    <row r="19" spans="1:2" ht="17.25">
      <c r="A19" s="8" t="e">
        <f>RTD("tickerplantrtdserver",,"17#3#1#5949#EURINRCOMP#Low")</f>
        <v>#N/A</v>
      </c>
    </row>
    <row r="20" spans="1:2" ht="17.25">
      <c r="A20" s="8" t="e">
        <f>RTD("tickerplantrtdserver",,"17#3#1#6031#GBPINRCOMP#Low")</f>
        <v>#N/A</v>
      </c>
    </row>
    <row r="21" spans="1:2" ht="17.25">
      <c r="A21" s="8" t="e">
        <f>RTD("tickerplantrtdserver",,"17#3#1#5978#JPYINRCOMP#Low")</f>
        <v>#N/A</v>
      </c>
    </row>
    <row r="22" spans="1:2" ht="17.25">
      <c r="A22" s="15" t="e">
        <f>RTD("tickerplantrtdserver",,"17#1#1#6069#USDINRCOMP#Open")</f>
        <v>#N/A</v>
      </c>
      <c r="B22" t="s">
        <v>44</v>
      </c>
    </row>
    <row r="23" spans="1:2" ht="17.25">
      <c r="A23" s="8" t="e">
        <f>RTD("tickerplantrtdserver",,"17#3#1#5949#EURINRCOMP#Open")</f>
        <v>#N/A</v>
      </c>
    </row>
    <row r="24" spans="1:2" ht="17.25">
      <c r="A24" s="8" t="e">
        <f>RTD("tickerplantrtdserver",,"17#3#1#6031#GBPINRCOMP#Open")</f>
        <v>#N/A</v>
      </c>
    </row>
    <row r="25" spans="1:2" ht="17.25">
      <c r="A25" s="8" t="e">
        <f>RTD("tickerplantrtdserver",,"17#3#1#5978#JPYINRCOMP#Open")</f>
        <v>#N/A</v>
      </c>
    </row>
    <row r="26" spans="1:2" ht="17.25">
      <c r="A26" s="15" t="e">
        <f>RTD("tickerplantrtdserver",,"17#1#1#6069#USDINRCOMP#Close")</f>
        <v>#N/A</v>
      </c>
      <c r="B26" t="s">
        <v>45</v>
      </c>
    </row>
    <row r="27" spans="1:2" ht="17.25">
      <c r="A27" s="8" t="e">
        <f>RTD("tickerplantrtdserver",,"17#3#1#5949#EURINRCOMP#Close")</f>
        <v>#N/A</v>
      </c>
    </row>
    <row r="28" spans="1:2" ht="17.25">
      <c r="A28" s="8" t="e">
        <f>RTD("tickerplantrtdserver",,"17#3#1#6031#GBPINRCOMP#Close")</f>
        <v>#N/A</v>
      </c>
    </row>
    <row r="29" spans="1:2" ht="17.25">
      <c r="A29" s="8" t="e">
        <f>RTD("tickerplantrtdserver",,"17#3#1#5978#JPYINRCOMP#Close")</f>
        <v>#N/A</v>
      </c>
    </row>
    <row r="30" spans="1:2" ht="17.25">
      <c r="A30" s="16" t="e">
        <f>RTD("tickerplantrtdserver",,"17#1#1#6069#USDINRCOMP#52WkHigh")</f>
        <v>#N/A</v>
      </c>
      <c r="B30" t="s">
        <v>46</v>
      </c>
    </row>
    <row r="31" spans="1:2" ht="17.25">
      <c r="A31" s="17" t="e">
        <f>RTD("tickerplantrtdserver",,"12#2#1#5949#SEURINR#52WkHigh")</f>
        <v>#N/A</v>
      </c>
    </row>
    <row r="32" spans="1:2" ht="17.25">
      <c r="A32" s="17" t="e">
        <f>RTD("tickerplantrtdserver",,"12#2#1#6031#SGBPINR#52WkHigh")</f>
        <v>#N/A</v>
      </c>
    </row>
    <row r="33" spans="1:2" ht="17.25">
      <c r="A33" s="17" t="e">
        <f>RTD("tickerplantrtdserver",,"12#2#1#5978#SJPYINR#52WkHigh")</f>
        <v>#N/A</v>
      </c>
    </row>
    <row r="34" spans="1:2" ht="17.25">
      <c r="A34" s="16" t="e">
        <f>RTD("tickerplantrtdserver",,"17#1#1#6069#USDINRCOMP#52WkLow")</f>
        <v>#N/A</v>
      </c>
      <c r="B34" t="s">
        <v>47</v>
      </c>
    </row>
    <row r="35" spans="1:2" ht="17.25">
      <c r="A35" s="17" t="e">
        <f>RTD("tickerplantrtdserver",,"12#2#1#5949#SEURINR#52WkLow")</f>
        <v>#N/A</v>
      </c>
    </row>
    <row r="36" spans="1:2" ht="17.25">
      <c r="A36" s="17" t="e">
        <f>RTD("tickerplantrtdserver",,"12#2#1#6031#SGBPINR#52WkLow")</f>
        <v>#N/A</v>
      </c>
    </row>
    <row r="37" spans="1:2" ht="17.25">
      <c r="A37" s="17" t="e">
        <f>RTD("tickerplantrtdserver",,"12#2#1#5978#SJPYINR#52WkLow")</f>
        <v>#N/A</v>
      </c>
    </row>
    <row r="38" spans="1:2" ht="17.25">
      <c r="A38" s="6" t="e">
        <f>RTD("tickerplantrtdserver",,"3#1#3#658#LTP")</f>
        <v>#N/A</v>
      </c>
      <c r="B38" s="50" t="s">
        <v>1</v>
      </c>
    </row>
    <row r="39" spans="1:2" ht="17.25">
      <c r="A39" s="6" t="e">
        <f>RTD("tickerplantrtdserver",,"4#1#2#3556#LTP")</f>
        <v>#N/A</v>
      </c>
    </row>
    <row r="40" spans="1:2" ht="17.25">
      <c r="A40" s="6" t="e">
        <f>RTD("tickerplantrtdserver",,"42#2#1#6219#2#LTP")</f>
        <v>#N/A</v>
      </c>
    </row>
    <row r="41" spans="1:2" ht="17.25">
      <c r="A41" s="6" t="e">
        <f>RTD("tickerplantrtdserver",,"42#4#1#6217#4#LTP")</f>
        <v>#N/A</v>
      </c>
    </row>
    <row r="42" spans="1:2" ht="17.25">
      <c r="A42" s="6" t="e">
        <f>RTD("tickerplantrtdserver",,"42#36#1#6222#36#LTP")</f>
        <v>#N/A</v>
      </c>
    </row>
    <row r="43" spans="1:2" ht="17.25">
      <c r="A43" s="6" t="e">
        <f>RTD("tickerplantrtdserver",,"42#1#1#6253#1#LTP")</f>
        <v>#N/A</v>
      </c>
    </row>
    <row r="44" spans="1:2" ht="17.25">
      <c r="A44" s="6" t="e">
        <f>RTD("tickerplantrtdserver",,"3#1#3#658#NetChg")</f>
        <v>#N/A</v>
      </c>
    </row>
    <row r="45" spans="1:2" ht="17.25">
      <c r="A45" s="6" t="e">
        <f>RTD("tickerplantrtdserver",,"4#1#2#3556#NetChg")</f>
        <v>#N/A</v>
      </c>
    </row>
    <row r="46" spans="1:2" ht="17.25">
      <c r="A46" s="6" t="e">
        <f>RTD("tickerplantrtdserver",,"42#2#1#6219#2#NetChg")</f>
        <v>#N/A</v>
      </c>
    </row>
    <row r="47" spans="1:2" ht="17.25">
      <c r="A47" s="6" t="e">
        <f>RTD("tickerplantrtdserver",,"42#4#1#6217#4#NetChg")</f>
        <v>#N/A</v>
      </c>
    </row>
    <row r="48" spans="1:2" ht="17.25">
      <c r="A48" s="6" t="e">
        <f>RTD("tickerplantrtdserver",,"42#36#1#6222#36#NetChg")</f>
        <v>#N/A</v>
      </c>
    </row>
    <row r="49" spans="1:2" ht="17.25">
      <c r="A49" s="6" t="e">
        <f>RTD("tickerplantrtdserver",,"42#1#1#6253#1#NetChg")</f>
        <v>#N/A</v>
      </c>
    </row>
    <row r="50" spans="1:2" ht="17.25">
      <c r="A50" s="6" t="e">
        <f>RTD("tickerplantrtdserver",,"3#1#3#658#%Chg")</f>
        <v>#N/A</v>
      </c>
    </row>
    <row r="51" spans="1:2" ht="17.25">
      <c r="A51" s="6" t="e">
        <f>RTD("tickerplantrtdserver",,"4#1#2#3556#%Chg")</f>
        <v>#N/A</v>
      </c>
    </row>
    <row r="52" spans="1:2" ht="17.25">
      <c r="A52" s="6" t="e">
        <f>RTD("tickerplantrtdserver",,"42#2#1#6219#2#%Chg")</f>
        <v>#N/A</v>
      </c>
    </row>
    <row r="53" spans="1:2" ht="17.25">
      <c r="A53" s="6" t="e">
        <f>RTD("tickerplantrtdserver",,"42#4#1#6217#4#%Chg")</f>
        <v>#N/A</v>
      </c>
    </row>
    <row r="54" spans="1:2" ht="17.25">
      <c r="A54" s="6" t="e">
        <f>RTD("tickerplantrtdserver",,"42#36#1#6222#36#%Chg")</f>
        <v>#N/A</v>
      </c>
    </row>
    <row r="55" spans="1:2" ht="17.25">
      <c r="A55" s="6" t="e">
        <f>RTD("tickerplantrtdserver",,"42#1#1#6253#1#%Chg")</f>
        <v>#N/A</v>
      </c>
    </row>
    <row r="56" spans="1:2" ht="17.25">
      <c r="A56" s="2" t="e">
        <f>RTD("tickerplantrtdserver",,"47#5#1#5629#USD1M.LIBOR#LTP")</f>
        <v>#N/A</v>
      </c>
      <c r="B56" s="50" t="s">
        <v>2</v>
      </c>
    </row>
    <row r="57" spans="1:2" ht="17.25">
      <c r="A57" s="2" t="e">
        <f>RTD("tickerplantrtdserver",,"47#5#1#5629#EUR1M.LIBOR#LTP")</f>
        <v>#N/A</v>
      </c>
    </row>
    <row r="58" spans="1:2" ht="17.25">
      <c r="A58" s="2" t="e">
        <f>RTD("tickerplantrtdserver",,"47#5#1#5629#GBP1M.LIBOR#LTP")</f>
        <v>#N/A</v>
      </c>
    </row>
    <row r="59" spans="1:2" ht="17.25">
      <c r="A59" s="2" t="e">
        <f>RTD("tickerplantrtdserver",,"47#5#1#5629#JPY1M.LIBOR#LTP")</f>
        <v>#N/A</v>
      </c>
    </row>
    <row r="60" spans="1:2" ht="17.25">
      <c r="A60" s="2" t="e">
        <f>RTD("tickerplantrtdserver",,"47#5#1#5629#USD3M.LIBOR#LTP")</f>
        <v>#N/A</v>
      </c>
    </row>
    <row r="61" spans="1:2" ht="17.25">
      <c r="A61" s="2" t="e">
        <f>RTD("tickerplantrtdserver",,"47#5#1#5629#EUR3M.LIBOR#LTP")</f>
        <v>#N/A</v>
      </c>
    </row>
    <row r="62" spans="1:2" ht="17.25">
      <c r="A62" s="2" t="e">
        <f>RTD("tickerplantrtdserver",,"47#5#1#5629#GBP3M.LIBOR#LTP")</f>
        <v>#N/A</v>
      </c>
    </row>
    <row r="63" spans="1:2" ht="17.25">
      <c r="A63" s="2" t="e">
        <f>RTD("tickerplantrtdserver",,"47#5#1#5629#JPY3M.LIBOR#LTP")</f>
        <v>#N/A</v>
      </c>
    </row>
    <row r="64" spans="1:2" ht="17.25">
      <c r="A64" s="2" t="e">
        <f>RTD("tickerplantrtdserver",,"47#5#1#5629#USD6M.LIBOR#LTP")</f>
        <v>#N/A</v>
      </c>
    </row>
    <row r="65" spans="1:2" ht="17.25">
      <c r="A65" s="2" t="e">
        <f>RTD("tickerplantrtdserver",,"47#5#1#5629#EUR6M.LIBOR#LTP")</f>
        <v>#N/A</v>
      </c>
    </row>
    <row r="66" spans="1:2" ht="17.25">
      <c r="A66" s="2" t="e">
        <f>RTD("tickerplantrtdserver",,"47#5#1#5629#GBP6M.LIBOR#LTP")</f>
        <v>#N/A</v>
      </c>
    </row>
    <row r="67" spans="1:2" ht="17.25">
      <c r="A67" s="2" t="e">
        <f>RTD("tickerplantrtdserver",,"47#5#1#5629#JPY6M.LIBOR#LTP")</f>
        <v>#N/A</v>
      </c>
    </row>
    <row r="68" spans="1:2" ht="17.25">
      <c r="A68" s="2" t="e">
        <f>RTD("tickerplantrtdserver",,"47#5#1#5629#USD1Y.LIBOR#LTP")</f>
        <v>#N/A</v>
      </c>
    </row>
    <row r="69" spans="1:2" ht="17.25">
      <c r="A69" s="2" t="e">
        <f>RTD("tickerplantrtdserver",,"47#5#1#5629#EUR1Y.LIBOR#LTP")</f>
        <v>#N/A</v>
      </c>
    </row>
    <row r="70" spans="1:2" ht="17.25">
      <c r="A70" s="2" t="e">
        <f>RTD("tickerplantrtdserver",,"47#5#1#5629#GBP1Y.LIBOR#LTP")</f>
        <v>#N/A</v>
      </c>
    </row>
    <row r="71" spans="1:2" ht="17.25">
      <c r="A71" s="2" t="e">
        <f>RTD("tickerplantrtdserver",,"47#5#1#5629#JPY1Y.LIBOR#LTP")</f>
        <v>#N/A</v>
      </c>
    </row>
    <row r="72" spans="1:2" ht="17.25">
      <c r="A72" s="6" t="e">
        <f>RTD("tickerplantrtdserver",,"12#2#1#5949#SEURUSD#Bid")</f>
        <v>#N/A</v>
      </c>
      <c r="B72" s="50" t="s">
        <v>11</v>
      </c>
    </row>
    <row r="73" spans="1:2" ht="17.25">
      <c r="A73" s="6" t="e">
        <f>RTD("tickerplantrtdserver",,"12#2#1#6031#SGBPUSD#Bid")</f>
        <v>#N/A</v>
      </c>
    </row>
    <row r="74" spans="1:2" ht="17.25">
      <c r="A74" s="6" t="e">
        <f>RTD("tickerplantrtdserver",,"12#2#1#6069#SUSDJPY#Bid")</f>
        <v>#N/A</v>
      </c>
    </row>
    <row r="75" spans="1:2" ht="17.25">
      <c r="A75" s="6" t="e">
        <f>RTD("tickerplantrtdserver",,"12#2#1#5903#SAUDUSD#Bid")</f>
        <v>#N/A</v>
      </c>
    </row>
    <row r="76" spans="1:2" ht="17.25">
      <c r="A76" s="6" t="e">
        <f>RTD("tickerplantrtdserver",,"12#2#1#6069#SUSDCAD#Bid")</f>
        <v>#N/A</v>
      </c>
    </row>
    <row r="77" spans="1:2" ht="17.25">
      <c r="A77" s="6" t="e">
        <f>RTD("tickerplantrtdserver",,"12#2#1#5949#SEURUSD#Ask")</f>
        <v>#N/A</v>
      </c>
      <c r="B77" t="s">
        <v>3</v>
      </c>
    </row>
    <row r="78" spans="1:2" ht="17.25">
      <c r="A78" s="6" t="e">
        <f>RTD("tickerplantrtdserver",,"12#2#1#6031#SGBPUSD#Ask")</f>
        <v>#N/A</v>
      </c>
    </row>
    <row r="79" spans="1:2" ht="17.25">
      <c r="A79" s="6" t="e">
        <f>RTD("tickerplantrtdserver",,"12#2#1#6069#SUSDJPY#Ask")</f>
        <v>#N/A</v>
      </c>
    </row>
    <row r="80" spans="1:2" ht="17.25">
      <c r="A80" s="6" t="e">
        <f>RTD("tickerplantrtdserver",,"12#2#1#5903#SAUDUSD#Ask")</f>
        <v>#N/A</v>
      </c>
    </row>
    <row r="81" spans="1:2" ht="17.25">
      <c r="A81" s="6" t="e">
        <f>RTD("tickerplantrtdserver",,"12#2#1#6069#SUSDCAD#Ask")</f>
        <v>#N/A</v>
      </c>
    </row>
    <row r="82" spans="1:2" ht="17.25">
      <c r="A82" s="6" t="e">
        <f>RTD("tickerplantrtdserver",,"12#2#1#5949#SEURUSD#%Chg")</f>
        <v>#N/A</v>
      </c>
      <c r="B82" t="s">
        <v>4</v>
      </c>
    </row>
    <row r="83" spans="1:2" ht="17.25">
      <c r="A83" s="6" t="e">
        <f>RTD("tickerplantrtdserver",,"12#2#1#6031#SGBPUSD#%Chg")</f>
        <v>#N/A</v>
      </c>
    </row>
    <row r="84" spans="1:2" ht="17.25">
      <c r="A84" s="6" t="e">
        <f>RTD("tickerplantrtdserver",,"12#2#1#6069#SUSDJPY#%Chg")</f>
        <v>#N/A</v>
      </c>
    </row>
    <row r="85" spans="1:2" ht="17.25">
      <c r="A85" s="6" t="e">
        <f>RTD("tickerplantrtdserver",,"12#2#1#5903#SAUDUSD#%Chg")</f>
        <v>#N/A</v>
      </c>
    </row>
    <row r="86" spans="1:2" ht="17.25">
      <c r="A86" s="6" t="e">
        <f>RTD("tickerplantrtdserver",,"12#2#1#6069#SUSDCAD#%Chg")</f>
        <v>#N/A</v>
      </c>
    </row>
    <row r="87" spans="1:2" ht="17.25">
      <c r="A87" s="6" t="e">
        <f>RTD("tickerplantrtdserver",,"12#2#1#5949#SEURUSD#High")</f>
        <v>#N/A</v>
      </c>
      <c r="B87" s="18" t="s">
        <v>5</v>
      </c>
    </row>
    <row r="88" spans="1:2" ht="17.25">
      <c r="A88" s="6" t="e">
        <f>RTD("tickerplantrtdserver",,"12#2#1#6031#SGBPUSD#High")</f>
        <v>#N/A</v>
      </c>
    </row>
    <row r="89" spans="1:2" ht="17.25">
      <c r="A89" s="6" t="e">
        <f>RTD("tickerplantrtdserver",,"12#2#1#6069#SUSDJPY#High")</f>
        <v>#N/A</v>
      </c>
    </row>
    <row r="90" spans="1:2" ht="17.25">
      <c r="A90" s="6" t="e">
        <f>RTD("tickerplantrtdserver",,"12#2#1#5903#SAUDUSD#High")</f>
        <v>#N/A</v>
      </c>
    </row>
    <row r="91" spans="1:2" ht="17.25">
      <c r="A91" s="6" t="e">
        <f>RTD("tickerplantrtdserver",,"12#2#1#6069#SUSDCAD#High")</f>
        <v>#N/A</v>
      </c>
    </row>
    <row r="92" spans="1:2" ht="17.25">
      <c r="A92" s="6" t="e">
        <f>RTD("tickerplantrtdserver",,"12#2#1#5949#SEURUSD#Low")</f>
        <v>#N/A</v>
      </c>
      <c r="B92" s="18" t="s">
        <v>6</v>
      </c>
    </row>
    <row r="93" spans="1:2" ht="17.25">
      <c r="A93" s="6" t="e">
        <f>RTD("tickerplantrtdserver",,"12#2#1#6031#SGBPUSD#Low")</f>
        <v>#N/A</v>
      </c>
    </row>
    <row r="94" spans="1:2" ht="17.25">
      <c r="A94" s="6" t="e">
        <f>RTD("tickerplantrtdserver",,"12#2#1#6069#SUSDJPY#Low")</f>
        <v>#N/A</v>
      </c>
    </row>
    <row r="95" spans="1:2" ht="17.25">
      <c r="A95" s="6" t="e">
        <f>RTD("tickerplantrtdserver",,"12#2#1#5903#SAUDUSD#Low")</f>
        <v>#N/A</v>
      </c>
    </row>
    <row r="96" spans="1:2" ht="17.25">
      <c r="A96" s="6" t="e">
        <f>RTD("tickerplantrtdserver",,"12#2#1#6069#SUSDCAD#Low")</f>
        <v>#N/A</v>
      </c>
    </row>
    <row r="97" spans="1:2" ht="17.25">
      <c r="A97" s="6" t="e">
        <f>RTD("tickerplantrtdserver",,"12#2#1#5949#SEURUSD#Open")</f>
        <v>#N/A</v>
      </c>
      <c r="B97" s="18" t="s">
        <v>7</v>
      </c>
    </row>
    <row r="98" spans="1:2" ht="17.25">
      <c r="A98" s="6" t="e">
        <f>RTD("tickerplantrtdserver",,"12#2#1#6031#SGBPUSD#Open")</f>
        <v>#N/A</v>
      </c>
    </row>
    <row r="99" spans="1:2" ht="17.25">
      <c r="A99" s="6" t="e">
        <f>RTD("tickerplantrtdserver",,"12#2#1#6069#SUSDJPY#Open")</f>
        <v>#N/A</v>
      </c>
    </row>
    <row r="100" spans="1:2" ht="17.25">
      <c r="A100" s="6" t="e">
        <f>RTD("tickerplantrtdserver",,"12#2#1#5903#SAUDUSD#Open")</f>
        <v>#N/A</v>
      </c>
    </row>
    <row r="101" spans="1:2" ht="17.25">
      <c r="A101" s="6" t="e">
        <f>RTD("tickerplantrtdserver",,"12#2#1#6069#SUSDCAD#Open")</f>
        <v>#N/A</v>
      </c>
    </row>
    <row r="102" spans="1:2" ht="17.25">
      <c r="A102" s="6" t="e">
        <f>RTD("tickerplantrtdserver",,"12#2#1#5949#SEURUSD#Close")</f>
        <v>#N/A</v>
      </c>
      <c r="B102" s="19" t="s">
        <v>8</v>
      </c>
    </row>
    <row r="103" spans="1:2" ht="17.25">
      <c r="A103" s="6" t="e">
        <f>RTD("tickerplantrtdserver",,"12#2#1#6031#SGBPUSD#Close")</f>
        <v>#N/A</v>
      </c>
    </row>
    <row r="104" spans="1:2" ht="17.25">
      <c r="A104" s="6" t="e">
        <f>RTD("tickerplantrtdserver",,"12#2#1#6069#SUSDJPY#Close")</f>
        <v>#N/A</v>
      </c>
    </row>
    <row r="105" spans="1:2" ht="17.25">
      <c r="A105" s="6" t="e">
        <f>RTD("tickerplantrtdserver",,"12#2#1#5903#SAUDUSD#Close")</f>
        <v>#N/A</v>
      </c>
    </row>
    <row r="106" spans="1:2" ht="17.25">
      <c r="A106" s="6" t="e">
        <f>RTD("tickerplantrtdserver",,"12#2#1#6069#SUSDCAD#Close")</f>
        <v>#N/A</v>
      </c>
    </row>
    <row r="107" spans="1:2" ht="17.25">
      <c r="A107" s="6" t="e">
        <f>RTD("tickerplantrtdserver",,"12#2#1#5949#SEURUSD#52WkHigh")</f>
        <v>#N/A</v>
      </c>
      <c r="B107" s="18" t="s">
        <v>9</v>
      </c>
    </row>
    <row r="108" spans="1:2" ht="17.25">
      <c r="A108" s="6" t="e">
        <f>RTD("tickerplantrtdserver",,"12#2#1#6031#SGBPUSD#52WkHigh")</f>
        <v>#N/A</v>
      </c>
    </row>
    <row r="109" spans="1:2" ht="17.25">
      <c r="A109" s="6" t="e">
        <f>RTD("tickerplantrtdserver",,"12#2#1#6069#SUSDJPY#52WkHigh")</f>
        <v>#N/A</v>
      </c>
    </row>
    <row r="110" spans="1:2" ht="17.25">
      <c r="A110" s="6" t="e">
        <f>RTD("tickerplantrtdserver",,"12#2#1#5903#SAUDUSD#52WkHigh")</f>
        <v>#N/A</v>
      </c>
    </row>
    <row r="111" spans="1:2" ht="17.25">
      <c r="A111" s="6" t="e">
        <f>RTD("tickerplantrtdserver",,"12#2#1#6069#SUSDCAD#52WkHigh")</f>
        <v>#N/A</v>
      </c>
    </row>
    <row r="112" spans="1:2" ht="17.25">
      <c r="A112" s="6" t="e">
        <f>RTD("tickerplantrtdserver",,"12#2#1#5949#SEURUSD#52WkLow")</f>
        <v>#N/A</v>
      </c>
      <c r="B112" s="18" t="s">
        <v>10</v>
      </c>
    </row>
    <row r="113" spans="1:2" ht="17.25">
      <c r="A113" s="6" t="e">
        <f>RTD("tickerplantrtdserver",,"12#2#1#6031#SGBPUSD#52WkLow")</f>
        <v>#N/A</v>
      </c>
    </row>
    <row r="114" spans="1:2" ht="17.25">
      <c r="A114" s="6" t="e">
        <f>RTD("tickerplantrtdserver",,"12#2#1#6069#SUSDJPY#52WkLow")</f>
        <v>#N/A</v>
      </c>
    </row>
    <row r="115" spans="1:2" ht="17.25">
      <c r="A115" s="6" t="e">
        <f>RTD("tickerplantrtdserver",,"12#2#1#5903#SAUDUSD#52WkLow")</f>
        <v>#N/A</v>
      </c>
    </row>
    <row r="116" spans="1:2" ht="18" thickBot="1">
      <c r="A116" s="6" t="e">
        <f>RTD("tickerplantrtdserver",,"12#2#1#6069#SUSDCAD#52WkLow")</f>
        <v>#N/A</v>
      </c>
    </row>
    <row r="117" spans="1:2" ht="17.25">
      <c r="A117" s="6" t="e">
        <f>RTD("tickerplantrtdserver",,"12#2#1#6069#SUSDSGD#Bid")</f>
        <v>#N/A</v>
      </c>
      <c r="B117" s="51" t="s">
        <v>12</v>
      </c>
    </row>
    <row r="118" spans="1:2" ht="17.25">
      <c r="A118" s="6" t="e">
        <f>RTD("tickerplantrtdserver",,"12#2#1#6069#SUSDHKD#Bid")</f>
        <v>#N/A</v>
      </c>
    </row>
    <row r="119" spans="1:2" ht="17.25">
      <c r="A119" s="6" t="e">
        <f>RTD("tickerplantrtdserver",,"12#2#1#6069#SUSDTWD#Bid")</f>
        <v>#N/A</v>
      </c>
    </row>
    <row r="120" spans="1:2" ht="17.25">
      <c r="A120" s="6" t="e">
        <f>RTD("tickerplantrtdserver",,"12#2#1#6069#SUSDKRW#Bid")</f>
        <v>#N/A</v>
      </c>
    </row>
    <row r="121" spans="1:2" ht="17.25">
      <c r="A121" s="6" t="e">
        <f>RTD("tickerplantrtdserver",,"12#2#1#6069#SUSDPHP#Bid")</f>
        <v>#N/A</v>
      </c>
    </row>
    <row r="122" spans="1:2" ht="17.25">
      <c r="A122" s="6" t="e">
        <f>RTD("tickerplantrtdserver",,"12#2#1#6069#SUSDIDR#Bid")</f>
        <v>#N/A</v>
      </c>
    </row>
    <row r="123" spans="1:2" ht="17.25">
      <c r="A123" s="6" t="e">
        <f>RTD("tickerplantrtdserver",,"12#2#1#6069#SUSDCNY#Bid")</f>
        <v>#N/A</v>
      </c>
    </row>
    <row r="124" spans="1:2" ht="17.25">
      <c r="A124" s="6" t="e">
        <f>RTD("tickerplantrtdserver",,"12#2#1#6069#SUSDMYR#Bid")</f>
        <v>#N/A</v>
      </c>
    </row>
    <row r="125" spans="1:2" ht="17.25">
      <c r="A125" s="6" t="e">
        <f>RTD("tickerplantrtdserver",,"12#2#1#6069#SUSDTHB#Bid")</f>
        <v>#N/A</v>
      </c>
    </row>
    <row r="126" spans="1:2" ht="17.25">
      <c r="A126" s="6" t="e">
        <f>RTD("tickerplantrtdserver",,"12#2#1#6069#SUSDSGD#Ask")</f>
        <v>#N/A</v>
      </c>
      <c r="B126" s="19" t="s">
        <v>13</v>
      </c>
    </row>
    <row r="127" spans="1:2" ht="17.25">
      <c r="A127" s="6" t="e">
        <f>RTD("tickerplantrtdserver",,"12#2#1#6069#SUSDHKD#Ask")</f>
        <v>#N/A</v>
      </c>
    </row>
    <row r="128" spans="1:2" ht="17.25">
      <c r="A128" s="6" t="e">
        <f>RTD("tickerplantrtdserver",,"12#2#1#6069#SUSDTWD#Ask")</f>
        <v>#N/A</v>
      </c>
    </row>
    <row r="129" spans="1:2" ht="17.25">
      <c r="A129" s="6" t="e">
        <f>RTD("tickerplantrtdserver",,"12#2#1#6069#SUSDKRW#Ask")</f>
        <v>#N/A</v>
      </c>
    </row>
    <row r="130" spans="1:2" ht="17.25">
      <c r="A130" s="6" t="e">
        <f>RTD("tickerplantrtdserver",,"12#2#1#6069#SUSDPHP#Ask")</f>
        <v>#N/A</v>
      </c>
    </row>
    <row r="131" spans="1:2" ht="17.25">
      <c r="A131" s="6" t="e">
        <f>RTD("tickerplantrtdserver",,"12#2#1#6069#SUSDIDR#Ask")</f>
        <v>#N/A</v>
      </c>
    </row>
    <row r="132" spans="1:2" ht="17.25">
      <c r="A132" s="6" t="e">
        <f>RTD("tickerplantrtdserver",,"12#2#1#6069#SUSDCNY#Ask")</f>
        <v>#N/A</v>
      </c>
    </row>
    <row r="133" spans="1:2" ht="17.25">
      <c r="A133" s="6" t="e">
        <f>RTD("tickerplantrtdserver",,"12#2#1#6069#SUSDMYR#Ask")</f>
        <v>#N/A</v>
      </c>
    </row>
    <row r="134" spans="1:2" ht="17.25">
      <c r="A134" s="6" t="e">
        <f>RTD("tickerplantrtdserver",,"12#2#1#6069#SUSDTHB#Ask")</f>
        <v>#N/A</v>
      </c>
    </row>
    <row r="135" spans="1:2" ht="17.25">
      <c r="A135" s="6" t="e">
        <f>RTD("tickerplantrtdserver",,"12#2#1#6069#SUSDSGD#%Chg")</f>
        <v>#N/A</v>
      </c>
      <c r="B135" s="19" t="s">
        <v>14</v>
      </c>
    </row>
    <row r="136" spans="1:2" ht="17.25">
      <c r="A136" s="6" t="e">
        <f>RTD("tickerplantrtdserver",,"12#2#1#6069#SUSDHKD#%Chg")</f>
        <v>#N/A</v>
      </c>
    </row>
    <row r="137" spans="1:2" ht="17.25">
      <c r="A137" s="6" t="e">
        <f>RTD("tickerplantrtdserver",,"12#2#1#6069#SUSDTWD#%Chg")</f>
        <v>#N/A</v>
      </c>
    </row>
    <row r="138" spans="1:2" ht="17.25">
      <c r="A138" s="6" t="e">
        <f>RTD("tickerplantrtdserver",,"12#2#1#6069#SUSDKRW#%Chg")</f>
        <v>#N/A</v>
      </c>
    </row>
    <row r="139" spans="1:2" ht="17.25">
      <c r="A139" s="6" t="e">
        <f>RTD("tickerplantrtdserver",,"12#2#1#6069#SUSDPHP#%Chg")</f>
        <v>#N/A</v>
      </c>
    </row>
    <row r="140" spans="1:2" ht="17.25">
      <c r="A140" s="6" t="e">
        <f>RTD("tickerplantrtdserver",,"12#2#1#6069#SUSDIDR#%Chg")</f>
        <v>#N/A</v>
      </c>
    </row>
    <row r="141" spans="1:2" ht="17.25">
      <c r="A141" s="6" t="e">
        <f>RTD("tickerplantrtdserver",,"12#2#1#6069#SUSDCNY#%Chg")</f>
        <v>#N/A</v>
      </c>
    </row>
    <row r="142" spans="1:2" ht="17.25">
      <c r="A142" s="6" t="e">
        <f>RTD("tickerplantrtdserver",,"12#2#1#6069#SUSDMYR#%Chg")</f>
        <v>#N/A</v>
      </c>
    </row>
    <row r="143" spans="1:2" ht="17.25">
      <c r="A143" s="6" t="e">
        <f>RTD("tickerplantrtdserver",,"12#2#1#6069#SUSDTHB#%Chg")</f>
        <v>#N/A</v>
      </c>
    </row>
    <row r="144" spans="1:2" ht="17.25">
      <c r="A144" s="6" t="e">
        <f>RTD("tickerplantrtdserver",,"12#2#1#6069#SUSDSGD#High")</f>
        <v>#N/A</v>
      </c>
      <c r="B144" s="18" t="s">
        <v>5</v>
      </c>
    </row>
    <row r="145" spans="1:2" ht="17.25">
      <c r="A145" s="6" t="e">
        <f>RTD("tickerplantrtdserver",,"12#2#1#6069#SUSDHKD#High")</f>
        <v>#N/A</v>
      </c>
    </row>
    <row r="146" spans="1:2" ht="17.25">
      <c r="A146" s="6" t="e">
        <f>RTD("tickerplantrtdserver",,"12#2#1#6069#SUSDTWD#High")</f>
        <v>#N/A</v>
      </c>
    </row>
    <row r="147" spans="1:2" ht="17.25">
      <c r="A147" s="6" t="e">
        <f>RTD("tickerplantrtdserver",,"12#2#1#6069#SUSDKRW#High")</f>
        <v>#N/A</v>
      </c>
    </row>
    <row r="148" spans="1:2" ht="17.25">
      <c r="A148" s="6" t="e">
        <f>RTD("tickerplantrtdserver",,"12#2#1#6069#SUSDPHP#High")</f>
        <v>#N/A</v>
      </c>
    </row>
    <row r="149" spans="1:2" ht="17.25">
      <c r="A149" s="6" t="e">
        <f>RTD("tickerplantrtdserver",,"12#2#1#6069#SUSDIDR#High")</f>
        <v>#N/A</v>
      </c>
    </row>
    <row r="150" spans="1:2" ht="17.25">
      <c r="A150" s="6" t="e">
        <f>RTD("tickerplantrtdserver",,"12#2#1#6069#SUSDCNY#High")</f>
        <v>#N/A</v>
      </c>
    </row>
    <row r="151" spans="1:2" ht="17.25">
      <c r="A151" s="6" t="e">
        <f>RTD("tickerplantrtdserver",,"12#2#1#6069#SUSDMYR#High")</f>
        <v>#N/A</v>
      </c>
    </row>
    <row r="152" spans="1:2" ht="17.25">
      <c r="A152" s="6" t="e">
        <f>RTD("tickerplantrtdserver",,"12#2#1#6069#SUSDTHB#High")</f>
        <v>#N/A</v>
      </c>
    </row>
    <row r="153" spans="1:2" ht="17.25">
      <c r="A153" s="6" t="e">
        <f>RTD("tickerplantrtdserver",,"12#2#1#6069#SUSDSGD#Low")</f>
        <v>#N/A</v>
      </c>
      <c r="B153" s="18" t="s">
        <v>6</v>
      </c>
    </row>
    <row r="154" spans="1:2" ht="17.25">
      <c r="A154" s="6" t="e">
        <f>RTD("tickerplantrtdserver",,"12#2#1#6069#SUSDHKD#Low")</f>
        <v>#N/A</v>
      </c>
    </row>
    <row r="155" spans="1:2" ht="17.25">
      <c r="A155" s="6" t="e">
        <f>RTD("tickerplantrtdserver",,"12#2#1#6069#SUSDTWD#Low")</f>
        <v>#N/A</v>
      </c>
    </row>
    <row r="156" spans="1:2" ht="17.25">
      <c r="A156" s="6" t="e">
        <f>RTD("tickerplantrtdserver",,"12#2#1#6069#SUSDKRW#Low")</f>
        <v>#N/A</v>
      </c>
    </row>
    <row r="157" spans="1:2" ht="17.25">
      <c r="A157" s="6" t="e">
        <f>RTD("tickerplantrtdserver",,"12#2#1#6069#SUSDPHP#Low")</f>
        <v>#N/A</v>
      </c>
    </row>
    <row r="158" spans="1:2" ht="17.25">
      <c r="A158" s="6" t="e">
        <f>RTD("tickerplantrtdserver",,"12#2#1#6069#SUSDIDR#Low")</f>
        <v>#N/A</v>
      </c>
    </row>
    <row r="159" spans="1:2" ht="17.25">
      <c r="A159" s="6" t="e">
        <f>RTD("tickerplantrtdserver",,"12#2#1#6069#SUSDCNY#Low")</f>
        <v>#N/A</v>
      </c>
    </row>
    <row r="160" spans="1:2" ht="17.25">
      <c r="A160" s="6" t="e">
        <f>RTD("tickerplantrtdserver",,"12#2#1#6069#SUSDMYR#Low")</f>
        <v>#N/A</v>
      </c>
    </row>
    <row r="161" spans="1:2" ht="17.25">
      <c r="A161" s="6" t="e">
        <f>RTD("tickerplantrtdserver",,"12#2#1#6069#SUSDTHB#Low")</f>
        <v>#N/A</v>
      </c>
    </row>
    <row r="162" spans="1:2" ht="17.25">
      <c r="A162" s="6" t="e">
        <f>RTD("tickerplantrtdserver",,"12#2#1#6069#SUSDSGD#Open")</f>
        <v>#N/A</v>
      </c>
      <c r="B162" s="18" t="s">
        <v>7</v>
      </c>
    </row>
    <row r="163" spans="1:2" ht="17.25">
      <c r="A163" s="6" t="e">
        <f>RTD("tickerplantrtdserver",,"12#2#1#6069#SUSDHKD#Open")</f>
        <v>#N/A</v>
      </c>
    </row>
    <row r="164" spans="1:2" ht="17.25">
      <c r="A164" s="6" t="e">
        <f>RTD("tickerplantrtdserver",,"12#2#1#6069#SUSDTWD#Open")</f>
        <v>#N/A</v>
      </c>
    </row>
    <row r="165" spans="1:2" ht="17.25">
      <c r="A165" s="6" t="e">
        <f>RTD("tickerplantrtdserver",,"12#2#1#6069#SUSDKRW#Open")</f>
        <v>#N/A</v>
      </c>
    </row>
    <row r="166" spans="1:2" ht="17.25">
      <c r="A166" s="6" t="e">
        <f>RTD("tickerplantrtdserver",,"12#2#1#6069#SUSDPHP#Open")</f>
        <v>#N/A</v>
      </c>
    </row>
    <row r="167" spans="1:2" ht="17.25">
      <c r="A167" s="6" t="e">
        <f>RTD("tickerplantrtdserver",,"12#2#1#6069#SUSDIDR#Open")</f>
        <v>#N/A</v>
      </c>
    </row>
    <row r="168" spans="1:2" ht="17.25">
      <c r="A168" s="6" t="e">
        <f>RTD("tickerplantrtdserver",,"12#2#1#6069#SUSDCNY#Open")</f>
        <v>#N/A</v>
      </c>
    </row>
    <row r="169" spans="1:2" ht="17.25">
      <c r="A169" s="6" t="e">
        <f>RTD("tickerplantrtdserver",,"12#2#1#6069#SUSDMYR#Open")</f>
        <v>#N/A</v>
      </c>
    </row>
    <row r="170" spans="1:2" ht="17.25">
      <c r="A170" s="6" t="e">
        <f>RTD("tickerplantrtdserver",,"12#2#1#6069#SUSDTHB#Open")</f>
        <v>#N/A</v>
      </c>
    </row>
    <row r="171" spans="1:2" ht="17.25">
      <c r="A171" s="6" t="e">
        <f>RTD("tickerplantrtdserver",,"12#2#1#6069#SUSDSGD#Close")</f>
        <v>#N/A</v>
      </c>
      <c r="B171" s="19" t="s">
        <v>8</v>
      </c>
    </row>
    <row r="172" spans="1:2" ht="17.25">
      <c r="A172" s="6" t="e">
        <f>RTD("tickerplantrtdserver",,"12#2#1#6069#SUSDHKD#Close")</f>
        <v>#N/A</v>
      </c>
    </row>
    <row r="173" spans="1:2" ht="17.25">
      <c r="A173" s="6" t="e">
        <f>RTD("tickerplantrtdserver",,"12#2#1#6069#SUSDTWD#Close")</f>
        <v>#N/A</v>
      </c>
    </row>
    <row r="174" spans="1:2" ht="17.25">
      <c r="A174" s="6" t="e">
        <f>RTD("tickerplantrtdserver",,"12#2#1#6069#SUSDKRW#Close")</f>
        <v>#N/A</v>
      </c>
    </row>
    <row r="175" spans="1:2" ht="17.25">
      <c r="A175" s="6" t="e">
        <f>RTD("tickerplantrtdserver",,"12#2#1#6069#SUSDPHP#Close")</f>
        <v>#N/A</v>
      </c>
    </row>
    <row r="176" spans="1:2" ht="17.25">
      <c r="A176" s="6" t="e">
        <f>RTD("tickerplantrtdserver",,"12#2#1#6069#SUSDIDR#Close")</f>
        <v>#N/A</v>
      </c>
    </row>
    <row r="177" spans="1:2" ht="17.25">
      <c r="A177" s="6" t="e">
        <f>RTD("tickerplantrtdserver",,"12#2#1#6069#SUSDCNY#Close")</f>
        <v>#N/A</v>
      </c>
    </row>
    <row r="178" spans="1:2" ht="17.25">
      <c r="A178" s="6" t="e">
        <f>RTD("tickerplantrtdserver",,"12#2#1#6069#SUSDMYR#Close")</f>
        <v>#N/A</v>
      </c>
    </row>
    <row r="179" spans="1:2" ht="17.25">
      <c r="A179" s="6" t="e">
        <f>RTD("tickerplantrtdserver",,"12#2#1#6069#SUSDTHB#Close")</f>
        <v>#N/A</v>
      </c>
    </row>
    <row r="180" spans="1:2" ht="17.25">
      <c r="A180" s="6" t="e">
        <f>RTD("tickerplantrtdserver",,"12#2#1#6069#SUSDSGD#52WkHigh")</f>
        <v>#N/A</v>
      </c>
      <c r="B180" s="18" t="s">
        <v>9</v>
      </c>
    </row>
    <row r="181" spans="1:2" ht="17.25">
      <c r="A181" s="6" t="e">
        <f>RTD("tickerplantrtdserver",,"12#2#1#6069#SUSDHKD#52WkHigh")</f>
        <v>#N/A</v>
      </c>
    </row>
    <row r="182" spans="1:2" ht="17.25">
      <c r="A182" s="6" t="e">
        <f>RTD("tickerplantrtdserver",,"12#2#1#6069#SUSDTWD#52WkHigh")</f>
        <v>#N/A</v>
      </c>
    </row>
    <row r="183" spans="1:2" ht="17.25">
      <c r="A183" s="6" t="e">
        <f>RTD("tickerplantrtdserver",,"12#2#1#6069#SUSDKRW#52WkHigh")</f>
        <v>#N/A</v>
      </c>
    </row>
    <row r="184" spans="1:2" ht="17.25">
      <c r="A184" s="6" t="e">
        <f>RTD("tickerplantrtdserver",,"12#2#1#6069#SUSDPHP#52WkHigh")</f>
        <v>#N/A</v>
      </c>
    </row>
    <row r="185" spans="1:2" ht="17.25">
      <c r="A185" s="6" t="e">
        <f>RTD("tickerplantrtdserver",,"12#2#1#6069#SUSDIDR#52WkHigh")</f>
        <v>#N/A</v>
      </c>
    </row>
    <row r="186" spans="1:2" ht="17.25">
      <c r="A186" s="6" t="e">
        <f>RTD("tickerplantrtdserver",,"12#2#1#6069#SUSDCNY#52WkHigh")</f>
        <v>#N/A</v>
      </c>
    </row>
    <row r="187" spans="1:2" ht="17.25">
      <c r="A187" s="6" t="e">
        <f>RTD("tickerplantrtdserver",,"12#2#1#6069#SUSDMYR#52WkHigh")</f>
        <v>#N/A</v>
      </c>
    </row>
    <row r="188" spans="1:2" ht="17.25">
      <c r="A188" s="6" t="e">
        <f>RTD("tickerplantrtdserver",,"12#2#1#6069#SUSDTHB#52WkHigh")</f>
        <v>#N/A</v>
      </c>
    </row>
    <row r="189" spans="1:2" ht="17.25">
      <c r="A189" s="6" t="e">
        <f>RTD("tickerplantrtdserver",,"12#2#1#6069#SUSDSGD#52WkLow")</f>
        <v>#N/A</v>
      </c>
      <c r="B189" s="18" t="s">
        <v>10</v>
      </c>
    </row>
    <row r="190" spans="1:2" ht="17.25">
      <c r="A190" s="6" t="e">
        <f>RTD("tickerplantrtdserver",,"12#2#1#6069#SUSDHKD#52WkLow")</f>
        <v>#N/A</v>
      </c>
    </row>
    <row r="191" spans="1:2" ht="17.25">
      <c r="A191" s="6" t="e">
        <f>RTD("tickerplantrtdserver",,"12#2#1#6069#SUSDTWD#52WkLow")</f>
        <v>#N/A</v>
      </c>
    </row>
    <row r="192" spans="1:2" ht="17.25">
      <c r="A192" s="6" t="e">
        <f>RTD("tickerplantrtdserver",,"12#2#1#6069#SUSDKRW#52WkLow")</f>
        <v>#N/A</v>
      </c>
    </row>
    <row r="193" spans="1:4" ht="17.25">
      <c r="A193" s="6" t="e">
        <f>RTD("tickerplantrtdserver",,"12#2#1#6069#SUSDPHP#52WkLow")</f>
        <v>#N/A</v>
      </c>
    </row>
    <row r="194" spans="1:4" ht="17.25">
      <c r="A194" s="6" t="e">
        <f>RTD("tickerplantrtdserver",,"12#2#1#6069#SUSDIDR#52WkLow")</f>
        <v>#N/A</v>
      </c>
    </row>
    <row r="195" spans="1:4" ht="17.25">
      <c r="A195" s="6" t="e">
        <f>RTD("tickerplantrtdserver",,"12#2#1#6069#SUSDCNY#52WkLow")</f>
        <v>#N/A</v>
      </c>
    </row>
    <row r="196" spans="1:4" ht="17.25">
      <c r="A196" s="6" t="e">
        <f>RTD("tickerplantrtdserver",,"12#2#1#6069#SUSDMYR#52WkLow")</f>
        <v>#N/A</v>
      </c>
    </row>
    <row r="197" spans="1:4" ht="17.25">
      <c r="A197" s="6" t="e">
        <f>RTD("tickerplantrtdserver",,"12#2#1#6069#SUSDTHB#52WkLow")</f>
        <v>#N/A</v>
      </c>
    </row>
    <row r="198" spans="1:4" ht="17.25">
      <c r="A198" s="5" t="e">
        <f>RTD("tickerplantrtdserver",,"47#4#1#6069#USDINRREF.RBI#Bid")</f>
        <v>#N/A</v>
      </c>
      <c r="B198" s="59" t="s">
        <v>15</v>
      </c>
      <c r="C198" s="60"/>
      <c r="D198" s="60"/>
    </row>
    <row r="199" spans="1:4" ht="17.25">
      <c r="A199" s="5" t="e">
        <f>RTD("tickerplantrtdserver",,"47#4#1#5949#EURINRREF.RBI#Bid")</f>
        <v>#N/A</v>
      </c>
    </row>
    <row r="200" spans="1:4" ht="17.25">
      <c r="A200" s="5" t="e">
        <f>RTD("tickerplantrtdserver",,"47#4#1#6031#GBPINRREF.RBI#Bid")</f>
        <v>#N/A</v>
      </c>
    </row>
    <row r="201" spans="1:4" ht="17.25">
      <c r="A201" s="5" t="e">
        <f>RTD("tickerplantrtdserver",,"47#4#1#5978#YENINRREF.RBI#Bid")</f>
        <v>#N/A</v>
      </c>
    </row>
    <row r="202" spans="1:4" ht="17.25">
      <c r="A202" s="5" t="e">
        <f>RTD("tickerplantrtdserver",,"47#4#1#6069#USDINRREF.RBI#S#Date-Time")</f>
        <v>#N/A</v>
      </c>
      <c r="B202" t="s">
        <v>16</v>
      </c>
    </row>
    <row r="203" spans="1:4" ht="17.25">
      <c r="A203" s="5" t="e">
        <f>RTD("tickerplantrtdserver",,"47#4#1#5949#EURINRREF.RBI#S#Date-Time")</f>
        <v>#N/A</v>
      </c>
    </row>
    <row r="204" spans="1:4" ht="17.25">
      <c r="A204" s="5" t="e">
        <f>RTD("tickerplantrtdserver",,"47#4#1#5949#EURINRREF.RBI#S#Date-Time")</f>
        <v>#N/A</v>
      </c>
    </row>
    <row r="205" spans="1:4" ht="17.25">
      <c r="A205" s="5" t="e">
        <f>RTD("tickerplantrtdserver",,"47#4#1#5949#EURINRREF.RBI#S#Date-Time")</f>
        <v>#N/A</v>
      </c>
    </row>
    <row r="206" spans="1:4" ht="15.75">
      <c r="A206" s="21" t="e">
        <f>RTD("tickerplantrtdserver",,"35#1#1#6069#FUTCUR#N1#0#XX#Bid")</f>
        <v>#N/A</v>
      </c>
      <c r="B206" t="s">
        <v>17</v>
      </c>
    </row>
    <row r="207" spans="1:4" ht="15.75">
      <c r="A207" s="22" t="e">
        <f>RTD("tickerplantrtdserver",,"35#1#1#6069#FUTCUR#1127865600#0#XX#Bid")</f>
        <v>#N/A</v>
      </c>
      <c r="B207" t="s">
        <v>18</v>
      </c>
    </row>
    <row r="208" spans="1:4" ht="15.75">
      <c r="A208" s="21" t="e">
        <f>RTD("tickerplantrtdserver",,"35#1#1#6069#FUTCUR#1130457600#0#XX#Bid")</f>
        <v>#N/A</v>
      </c>
    </row>
    <row r="209" spans="1:2" ht="17.25">
      <c r="A209" s="21" t="e">
        <f>RTD("tickerplantrtdserver",,"35#1#1#6069#FUTCUR#N1#0#XX#Ask")</f>
        <v>#N/A</v>
      </c>
      <c r="B209" s="52" t="s">
        <v>19</v>
      </c>
    </row>
    <row r="210" spans="1:2" ht="15.75">
      <c r="A210" s="21" t="e">
        <f>RTD("tickerplantrtdserver",,"35#1#1#6069#FUTCUR#1127865600#0#XX#Ask")</f>
        <v>#N/A</v>
      </c>
    </row>
    <row r="211" spans="1:2" ht="15.75">
      <c r="A211" s="21" t="e">
        <f>RTD("tickerplantrtdserver",,"35#1#1#6069#FUTCUR#1130457600#0#XX#Ask")</f>
        <v>#N/A</v>
      </c>
    </row>
    <row r="212" spans="1:2">
      <c r="A212" s="7" t="e">
        <f>RTD("tickerplantrtdserver",,"FWRC1#USDINR#Month End Rates#0#S#MonthEndDate2")</f>
        <v>#N/A</v>
      </c>
      <c r="B212" s="50" t="s">
        <v>20</v>
      </c>
    </row>
    <row r="213" spans="1:2">
      <c r="A213" s="42" t="e">
        <f>RTD("tickerplantrtdserver",,"17#2#1#6069#USDINRCOMP CASH/SPOT#Ask")</f>
        <v>#N/A</v>
      </c>
      <c r="B213" s="50" t="s">
        <v>21</v>
      </c>
    </row>
    <row r="214" spans="1:2">
      <c r="A214" s="42" t="e">
        <f>RTD("tickerplantrtdserver",,"17#2#1#6069#USDINRCOMP CASH/SPOT#Bid")</f>
        <v>#N/A</v>
      </c>
    </row>
    <row r="215" spans="1:2">
      <c r="A215" s="23" t="e">
        <f>RTD("tickerplantrtdserver",,"FWRC1#USDINR#Month End Rates#0#S#Desc.4")</f>
        <v>#N/A</v>
      </c>
    </row>
    <row r="216" spans="1:2">
      <c r="A216" s="24" t="e">
        <f>RTD("tickerplantrtdserver",,"FWRC1#USDINR#Month End Rates#0#S#MonthEndDate4")</f>
        <v>#N/A</v>
      </c>
    </row>
    <row r="217" spans="1:2">
      <c r="A217" s="25" t="e">
        <f>RTD("tickerplantrtdserver",,"FWRC1#USDINR#Month End Rates#0#BidPrice4")</f>
        <v>#N/A</v>
      </c>
    </row>
    <row r="218" spans="1:2">
      <c r="A218" s="25" t="e">
        <f>RTD("tickerplantrtdserver",,"FWRC1#USDINR#Month End Rates#0#AskPrice4")</f>
        <v>#N/A</v>
      </c>
    </row>
    <row r="219" spans="1:2">
      <c r="A219" s="23" t="e">
        <f>RTD("tickerplantrtdserver",,"FWRC1#USDINR#Month End Rates#0#S#Desc.5")</f>
        <v>#N/A</v>
      </c>
    </row>
    <row r="220" spans="1:2">
      <c r="A220" s="24" t="e">
        <f>RTD("tickerplantrtdserver",,"FWRC1#USDINR#Month End Rates#0#S#MonthEndDate5")</f>
        <v>#N/A</v>
      </c>
    </row>
    <row r="221" spans="1:2">
      <c r="A221" s="25" t="e">
        <f>RTD("tickerplantrtdserver",,"FWRC1#USDINR#Month End Rates#0#BidPrice5")</f>
        <v>#N/A</v>
      </c>
    </row>
    <row r="222" spans="1:2">
      <c r="A222" s="25" t="e">
        <f>RTD("tickerplantrtdserver",,"FWRC1#USDINR#Month End Rates#0#AskPrice5")</f>
        <v>#N/A</v>
      </c>
    </row>
    <row r="223" spans="1:2">
      <c r="A223" s="23" t="e">
        <f>RTD("tickerplantrtdserver",,"FWRC1#USDINR#Month End Rates#0#S#Desc.6")</f>
        <v>#N/A</v>
      </c>
    </row>
    <row r="224" spans="1:2">
      <c r="A224" s="24" t="e">
        <f>RTD("tickerplantrtdserver",,"FWRC1#USDINR#Month End Rates#0#S#MonthEndDate6")</f>
        <v>#N/A</v>
      </c>
    </row>
    <row r="225" spans="1:1">
      <c r="A225" s="25" t="e">
        <f>RTD("tickerplantrtdserver",,"FWRC1#USDINR#Month End Rates#0#BidPrice6")</f>
        <v>#N/A</v>
      </c>
    </row>
    <row r="226" spans="1:1">
      <c r="A226" s="25" t="e">
        <f>RTD("tickerplantrtdserver",,"FWRC1#USDINR#Month End Rates#0#AskPrice6")</f>
        <v>#N/A</v>
      </c>
    </row>
    <row r="227" spans="1:1">
      <c r="A227" s="23" t="e">
        <f>RTD("tickerplantrtdserver",,"FWRC1#USDINR#Month End Rates#0#S#Desc.7")</f>
        <v>#N/A</v>
      </c>
    </row>
    <row r="228" spans="1:1">
      <c r="A228" s="24" t="e">
        <f>RTD("tickerplantrtdserver",,"FWRC1#USDINR#Month End Rates#0#S#MonthEndDate7")</f>
        <v>#N/A</v>
      </c>
    </row>
    <row r="229" spans="1:1">
      <c r="A229" s="25" t="e">
        <f>RTD("tickerplantrtdserver",,"FWRC1#USDINR#Month End Rates#0#BidPrice7")</f>
        <v>#N/A</v>
      </c>
    </row>
    <row r="230" spans="1:1">
      <c r="A230" s="25" t="e">
        <f>RTD("tickerplantrtdserver",,"FWRC1#USDINR#Month End Rates#0#AskPrice7")</f>
        <v>#N/A</v>
      </c>
    </row>
    <row r="231" spans="1:1">
      <c r="A231" s="23" t="e">
        <f>RTD("tickerplantrtdserver",,"FWRC1#USDINR#Month End Rates#0#S#Desc.8")</f>
        <v>#N/A</v>
      </c>
    </row>
    <row r="232" spans="1:1">
      <c r="A232" s="24" t="e">
        <f>RTD("tickerplantrtdserver",,"FWRC1#USDINR#Month End Rates#0#S#MonthEndDate8")</f>
        <v>#N/A</v>
      </c>
    </row>
    <row r="233" spans="1:1">
      <c r="A233" s="25" t="e">
        <f>RTD("tickerplantrtdserver",,"FWRC1#USDINR#Month End Rates#0#BidPrice8")</f>
        <v>#N/A</v>
      </c>
    </row>
    <row r="234" spans="1:1">
      <c r="A234" s="25" t="e">
        <f>RTD("tickerplantrtdserver",,"FWRC1#USDINR#Month End Rates#0#AskPrice8")</f>
        <v>#N/A</v>
      </c>
    </row>
    <row r="235" spans="1:1">
      <c r="A235" s="23" t="e">
        <f>RTD("tickerplantrtdserver",,"FWRC1#USDINR#Month End Rates#0#S#Desc.9")</f>
        <v>#N/A</v>
      </c>
    </row>
    <row r="236" spans="1:1">
      <c r="A236" s="24" t="e">
        <f>RTD("tickerplantrtdserver",,"FWRC1#USDINR#Month End Rates#0#S#MonthEndDate9")</f>
        <v>#N/A</v>
      </c>
    </row>
    <row r="237" spans="1:1">
      <c r="A237" s="25" t="e">
        <f>RTD("tickerplantrtdserver",,"FWRC1#USDINR#Month End Rates#0#BidPrice9")</f>
        <v>#N/A</v>
      </c>
    </row>
    <row r="238" spans="1:1">
      <c r="A238" s="25" t="e">
        <f>RTD("tickerplantrtdserver",,"FWRC1#USDINR#Month End Rates#0#AskPrice9")</f>
        <v>#N/A</v>
      </c>
    </row>
    <row r="239" spans="1:1">
      <c r="A239" s="23" t="e">
        <f>RTD("tickerplantrtdserver",,"FWRC1#USDINR#Month End Rates#0#S#Desc.10")</f>
        <v>#N/A</v>
      </c>
    </row>
    <row r="240" spans="1:1">
      <c r="A240" s="24" t="e">
        <f>RTD("tickerplantrtdserver",,"FWRC1#USDINR#Month End Rates#0#S#MonthEndDate10")</f>
        <v>#N/A</v>
      </c>
    </row>
    <row r="241" spans="1:1">
      <c r="A241" s="25" t="e">
        <f>RTD("tickerplantrtdserver",,"FWRC1#USDINR#Month End Rates#0#BidPrice10")</f>
        <v>#N/A</v>
      </c>
    </row>
    <row r="242" spans="1:1">
      <c r="A242" s="25" t="e">
        <f>RTD("tickerplantrtdserver",,"FWRC1#USDINR#Month End Rates#0#AskPrice10")</f>
        <v>#N/A</v>
      </c>
    </row>
    <row r="243" spans="1:1">
      <c r="A243" s="23" t="e">
        <f>RTD("tickerplantrtdserver",,"FWRC1#USDINR#Month End Rates#0#S#Desc.11")</f>
        <v>#N/A</v>
      </c>
    </row>
    <row r="244" spans="1:1">
      <c r="A244" s="24" t="e">
        <f>RTD("tickerplantrtdserver",,"FWRC1#USDINR#Month End Rates#0#S#MonthEndDate11")</f>
        <v>#N/A</v>
      </c>
    </row>
    <row r="245" spans="1:1">
      <c r="A245" s="25" t="e">
        <f>RTD("tickerplantrtdserver",,"FWRC1#USDINR#Month End Rates#0#BidPrice11")</f>
        <v>#N/A</v>
      </c>
    </row>
    <row r="246" spans="1:1">
      <c r="A246" s="25" t="e">
        <f>RTD("tickerplantrtdserver",,"FWRC1#USDINR#Month End Rates#0#AskPrice11")</f>
        <v>#N/A</v>
      </c>
    </row>
    <row r="247" spans="1:1">
      <c r="A247" s="23" t="e">
        <f>RTD("tickerplantrtdserver",,"FWRC1#USDINR#Month End Rates#0#S#Desc.12")</f>
        <v>#N/A</v>
      </c>
    </row>
    <row r="248" spans="1:1">
      <c r="A248" s="24" t="e">
        <f>RTD("tickerplantrtdserver",,"FWRC1#USDINR#Month End Rates#0#S#MonthEndDate12")</f>
        <v>#N/A</v>
      </c>
    </row>
    <row r="249" spans="1:1">
      <c r="A249" s="25" t="e">
        <f>RTD("tickerplantrtdserver",,"FWRC1#USDINR#Month End Rates#0#BidPrice12")</f>
        <v>#N/A</v>
      </c>
    </row>
    <row r="250" spans="1:1">
      <c r="A250" s="25" t="e">
        <f>RTD("tickerplantrtdserver",,"FWRC1#USDINR#Month End Rates#0#AskPrice12")</f>
        <v>#N/A</v>
      </c>
    </row>
    <row r="251" spans="1:1">
      <c r="A251" s="23" t="e">
        <f>RTD("tickerplantrtdserver",,"FWRC1#USDINR#Month End Rates#0#S#Desc.13")</f>
        <v>#N/A</v>
      </c>
    </row>
    <row r="252" spans="1:1">
      <c r="A252" s="24" t="e">
        <f>RTD("tickerplantrtdserver",,"FWRC1#USDINR#Month End Rates#0#S#MonthEndDate13")</f>
        <v>#N/A</v>
      </c>
    </row>
    <row r="253" spans="1:1">
      <c r="A253" s="25" t="e">
        <f>RTD("tickerplantrtdserver",,"FWRC1#USDINR#Month End Rates#0#BidPrice13")</f>
        <v>#N/A</v>
      </c>
    </row>
    <row r="254" spans="1:1">
      <c r="A254" s="25" t="e">
        <f>RTD("tickerplantrtdserver",,"FWRC1#USDINR#Month End Rates#0#AskPrice13")</f>
        <v>#N/A</v>
      </c>
    </row>
    <row r="255" spans="1:1">
      <c r="A255" s="23" t="e">
        <f>RTD("tickerplantrtdserver",,"FWRC1#USDINR#Month End Rates#0#S#Desc.14")</f>
        <v>#N/A</v>
      </c>
    </row>
    <row r="256" spans="1:1">
      <c r="A256" s="24" t="e">
        <f>RTD("tickerplantrtdserver",,"FWRC1#USDINR#Month End Rates#0#S#MonthEndDate14")</f>
        <v>#N/A</v>
      </c>
    </row>
    <row r="257" spans="1:2">
      <c r="A257" s="25" t="e">
        <f>RTD("tickerplantrtdserver",,"FWRC1#USDINR#Month End Rates#0#BidPrice14")</f>
        <v>#N/A</v>
      </c>
    </row>
    <row r="258" spans="1:2">
      <c r="A258" s="25" t="e">
        <f>RTD("tickerplantrtdserver",,"FWRC1#USDINR#Month End Rates#0#AskPrice14")</f>
        <v>#N/A</v>
      </c>
    </row>
    <row r="259" spans="1:2">
      <c r="A259" s="26" t="e">
        <f>RTD("tickerplantrtdserver",,"FWRC1#USDINR#Month End Rates#0#S#Desc.15")</f>
        <v>#N/A</v>
      </c>
    </row>
    <row r="260" spans="1:2">
      <c r="A260" s="27" t="e">
        <f>RTD("tickerplantrtdserver",,"FWRC1#USDINR#Month End Rates#0#S#MonthEndDate15")</f>
        <v>#N/A</v>
      </c>
    </row>
    <row r="261" spans="1:2">
      <c r="A261" s="28" t="e">
        <f>RTD("tickerplantrtdserver",,"FWRC1#USDINR#Month End Rates#0#BidPrice15")</f>
        <v>#N/A</v>
      </c>
    </row>
    <row r="262" spans="1:2" ht="15.75" thickBot="1">
      <c r="A262" s="28" t="e">
        <f>RTD("tickerplantrtdserver",,"FWRC1#USDINR#Month End Rates#0#AskPrice15")</f>
        <v>#N/A</v>
      </c>
    </row>
    <row r="263" spans="1:2" ht="15.75" thickBot="1">
      <c r="A263" s="29" t="e">
        <f>RTD("tickerplantrtdserver",,"17#1#1#6069#USDINRCOMP#Bid")</f>
        <v>#N/A</v>
      </c>
      <c r="B263" t="s">
        <v>22</v>
      </c>
    </row>
    <row r="264" spans="1:2" ht="15.75" thickBot="1">
      <c r="A264" s="30" t="e">
        <f>RTD("tickerplantrtdserver",,"17#1#1#6069#USDINRCOMP#Ask")</f>
        <v>#N/A</v>
      </c>
    </row>
    <row r="265" spans="1:2">
      <c r="A265" s="3" t="e">
        <f>RTD("tickerplantrtdserver",,"FWRC1#USDINR#Month End Rates#0#S#MonthEndDate0")</f>
        <v>#N/A</v>
      </c>
      <c r="B265" t="s">
        <v>23</v>
      </c>
    </row>
    <row r="266" spans="1:2">
      <c r="A266" s="24" t="e">
        <f>RTD("tickerplantrtdserver",,"FWRC1#USDINR#Month End Rates#0#FwdOutrightBid4")</f>
        <v>#N/A</v>
      </c>
      <c r="B266" s="31" t="s">
        <v>24</v>
      </c>
    </row>
    <row r="267" spans="1:2">
      <c r="A267" s="24" t="e">
        <f>RTD("tickerplantrtdserver",,"FWRC1#USDINR#Month End Rates#0#FwdOutrightAsk4")</f>
        <v>#N/A</v>
      </c>
    </row>
    <row r="268" spans="1:2">
      <c r="A268" s="24" t="e">
        <f>RTD("tickerplantrtdserver",,"FWRC1#USDINR#Month End Rates#0#FwdOutrightBid5")</f>
        <v>#N/A</v>
      </c>
    </row>
    <row r="269" spans="1:2">
      <c r="A269" s="24" t="e">
        <f>RTD("tickerplantrtdserver",,"FWRC1#USDINR#Month End Rates#0#FwdOutrightAsk5")</f>
        <v>#N/A</v>
      </c>
    </row>
    <row r="270" spans="1:2">
      <c r="A270" s="24" t="e">
        <f>RTD("tickerplantrtdserver",,"FWRC1#USDINR#Month End Rates#0#FwdOutrightBid6")</f>
        <v>#N/A</v>
      </c>
    </row>
    <row r="271" spans="1:2">
      <c r="A271" s="24" t="e">
        <f>RTD("tickerplantrtdserver",,"FWRC1#USDINR#Month End Rates#0#FwdOutrightAsk6")</f>
        <v>#N/A</v>
      </c>
    </row>
    <row r="272" spans="1:2">
      <c r="A272" s="24" t="e">
        <f>RTD("tickerplantrtdserver",,"FWRC1#USDINR#Month End Rates#0#FwdOutrightBid7")</f>
        <v>#N/A</v>
      </c>
    </row>
    <row r="273" spans="1:1">
      <c r="A273" s="24" t="e">
        <f>RTD("tickerplantrtdserver",,"FWRC1#USDINR#Month End Rates#0#FwdOutrightAsk7")</f>
        <v>#N/A</v>
      </c>
    </row>
    <row r="274" spans="1:1">
      <c r="A274" s="24" t="e">
        <f>RTD("tickerplantrtdserver",,"FWRC1#USDINR#Month End Rates#0#FwdOutrightBid8")</f>
        <v>#N/A</v>
      </c>
    </row>
    <row r="275" spans="1:1">
      <c r="A275" s="24" t="e">
        <f>RTD("tickerplantrtdserver",,"FWRC1#USDINR#Month End Rates#0#FwdOutrightAsk8")</f>
        <v>#N/A</v>
      </c>
    </row>
    <row r="276" spans="1:1">
      <c r="A276" s="24" t="e">
        <f>RTD("tickerplantrtdserver",,"FWRC1#USDINR#Month End Rates#0#FwdOutrightBid9")</f>
        <v>#N/A</v>
      </c>
    </row>
    <row r="277" spans="1:1">
      <c r="A277" s="24" t="e">
        <f>RTD("tickerplantrtdserver",,"FWRC1#USDINR#Month End Rates#0#FwdOutrightAsk9")</f>
        <v>#N/A</v>
      </c>
    </row>
    <row r="278" spans="1:1">
      <c r="A278" s="24" t="e">
        <f>RTD("tickerplantrtdserver",,"FWRC1#USDINR#Month End Rates#0#FwdOutrightBid10")</f>
        <v>#N/A</v>
      </c>
    </row>
    <row r="279" spans="1:1">
      <c r="A279" s="24" t="e">
        <f>RTD("tickerplantrtdserver",,"FWRC1#USDINR#Month End Rates#0#FwdOutrightAsk10")</f>
        <v>#N/A</v>
      </c>
    </row>
    <row r="280" spans="1:1">
      <c r="A280" s="24" t="e">
        <f>RTD("tickerplantrtdserver",,"FWRC1#USDINR#Month End Rates#0#FwdOutrightBid11")</f>
        <v>#N/A</v>
      </c>
    </row>
    <row r="281" spans="1:1">
      <c r="A281" s="24" t="e">
        <f>RTD("tickerplantrtdserver",,"FWRC1#USDINR#Month End Rates#0#FwdOutrightAsk11")</f>
        <v>#N/A</v>
      </c>
    </row>
    <row r="282" spans="1:1">
      <c r="A282" s="24" t="e">
        <f>RTD("tickerplantrtdserver",,"FWRC1#USDINR#Month End Rates#0#FwdOutrightBid12")</f>
        <v>#N/A</v>
      </c>
    </row>
    <row r="283" spans="1:1">
      <c r="A283" s="24" t="e">
        <f>RTD("tickerplantrtdserver",,"FWRC1#USDINR#Month End Rates#0#FwdOutrightAsk12")</f>
        <v>#N/A</v>
      </c>
    </row>
    <row r="284" spans="1:1">
      <c r="A284" s="24" t="e">
        <f>RTD("tickerplantrtdserver",,"FWRC1#USDINR#Month End Rates#0#FwdOutrightBid13")</f>
        <v>#N/A</v>
      </c>
    </row>
    <row r="285" spans="1:1">
      <c r="A285" s="24" t="e">
        <f>RTD("tickerplantrtdserver",,"FWRC1#USDINR#Month End Rates#0#FwdOutrightAsk13")</f>
        <v>#N/A</v>
      </c>
    </row>
    <row r="286" spans="1:1">
      <c r="A286" s="24" t="e">
        <f>RTD("tickerplantrtdserver",,"FWRC1#USDINR#Month End Rates#0#FwdOutrightBid14")</f>
        <v>#N/A</v>
      </c>
    </row>
    <row r="287" spans="1:1">
      <c r="A287" s="24" t="e">
        <f>RTD("tickerplantrtdserver",,"FWRC1#USDINR#Month End Rates#0#FwdOutrightAsk14")</f>
        <v>#N/A</v>
      </c>
    </row>
    <row r="288" spans="1:1">
      <c r="A288" s="27" t="e">
        <f>RTD("tickerplantrtdserver",,"FWRC1#USDINR#Month End Rates#0#FwdOutrightBid15")</f>
        <v>#N/A</v>
      </c>
    </row>
    <row r="289" spans="1:2">
      <c r="A289" s="27" t="e">
        <f>RTD("tickerplantrtdserver",,"FWRC1#USDINR#Month End Rates#0#FwdOutrightAsk15")</f>
        <v>#N/A</v>
      </c>
    </row>
    <row r="290" spans="1:2">
      <c r="A290" s="23" t="e">
        <f>RTD("tickerplantrtdserver",,"FWRC1#USDINR#Month End Rates#0#S#MonthEndDate2")</f>
        <v>#N/A</v>
      </c>
      <c r="B290" s="32" t="s">
        <v>25</v>
      </c>
    </row>
    <row r="291" spans="1:2">
      <c r="A291" s="33" t="e">
        <f>RTD("tickerplantrtdserver",,"17#2#1#6069#USDINRCOMP CASH/SPOT#Ask")</f>
        <v>#N/A</v>
      </c>
    </row>
    <row r="292" spans="1:2">
      <c r="A292" s="33" t="e">
        <f>RTD("tickerplantrtdserver",,"17#2#1#6069#USDINRCOMP CASH/SPOT#Bid")</f>
        <v>#N/A</v>
      </c>
    </row>
    <row r="293" spans="1:2">
      <c r="A293" s="23" t="e">
        <f>RTD("tickerplantrtdserver",,"FWRC1#EURINR#Month Wise Rates#0#S#Desc.7")</f>
        <v>#N/A</v>
      </c>
    </row>
    <row r="294" spans="1:2">
      <c r="A294" s="23" t="e">
        <f>RTD("tickerplantrtdserver",,"FWRC1#EURINR#Month Wise Rates#0#S#PillarDate7")</f>
        <v>#N/A</v>
      </c>
    </row>
    <row r="295" spans="1:2">
      <c r="A295" s="34" t="e">
        <f>RTD("tickerplantrtdserver",,"17#2#1#6069#USDINRCOMP Fwd MW 1M#Bid")</f>
        <v>#N/A</v>
      </c>
    </row>
    <row r="296" spans="1:2">
      <c r="A296" s="34" t="e">
        <f>RTD("tickerplantrtdserver",,"17#2#1#6069#USDINRCOMP Fwd MW 1M#Ask")</f>
        <v>#N/A</v>
      </c>
    </row>
    <row r="297" spans="1:2">
      <c r="A297" s="23" t="e">
        <f>RTD("tickerplantrtdserver",,"FWRC1#EURINR#Month Wise Rates#0#S#Desc.8")</f>
        <v>#N/A</v>
      </c>
    </row>
    <row r="298" spans="1:2">
      <c r="A298" s="23" t="e">
        <f>RTD("tickerplantrtdserver",,"FWRC1#EURINR#Month Wise Rates#0#S#PillarDate8")</f>
        <v>#N/A</v>
      </c>
    </row>
    <row r="299" spans="1:2">
      <c r="A299" s="34" t="e">
        <f>RTD("tickerplantrtdserver",,"17#2#1#6069#USDINRCOMP Fwd MW 2M#Bid")</f>
        <v>#N/A</v>
      </c>
    </row>
    <row r="300" spans="1:2">
      <c r="A300" s="34" t="e">
        <f>RTD("tickerplantrtdserver",,"17#2#1#6069#USDINRCOMP Fwd MW 2M#Ask")</f>
        <v>#N/A</v>
      </c>
    </row>
    <row r="301" spans="1:2">
      <c r="A301" s="23" t="e">
        <f>RTD("tickerplantrtdserver",,"FWRC1#EURINR#Month Wise Rates#0#S#Desc.9")</f>
        <v>#N/A</v>
      </c>
    </row>
    <row r="302" spans="1:2">
      <c r="A302" s="23" t="e">
        <f>RTD("tickerplantrtdserver",,"FWRC1#EURINR#Month Wise Rates#0#S#PillarDate9")</f>
        <v>#N/A</v>
      </c>
    </row>
    <row r="303" spans="1:2">
      <c r="A303" s="34" t="e">
        <f>RTD("tickerplantrtdserver",,"17#2#1#6069#USDINRCOMP Fwd MW 3M#Bid")</f>
        <v>#N/A</v>
      </c>
    </row>
    <row r="304" spans="1:2">
      <c r="A304" s="34" t="e">
        <f>RTD("tickerplantrtdserver",,"17#2#1#6069#USDINRCOMP Fwd MW 3M#Ask")</f>
        <v>#N/A</v>
      </c>
    </row>
    <row r="305" spans="1:1">
      <c r="A305" s="23" t="e">
        <f>RTD("tickerplantrtdserver",,"FWRC1#EURINR#Month Wise Rates#0#S#Desc.10")</f>
        <v>#N/A</v>
      </c>
    </row>
    <row r="306" spans="1:1">
      <c r="A306" s="23" t="e">
        <f>RTD("tickerplantrtdserver",,"FWRC1#EURINR#Month Wise Rates#0#S#PillarDate10")</f>
        <v>#N/A</v>
      </c>
    </row>
    <row r="307" spans="1:1">
      <c r="A307" s="34" t="e">
        <f>RTD("tickerplantrtdserver",,"17#2#1#6069#USDINRCOMP Fwd MW 4M#Bid")</f>
        <v>#N/A</v>
      </c>
    </row>
    <row r="308" spans="1:1">
      <c r="A308" s="34" t="e">
        <f>RTD("tickerplantrtdserver",,"17#2#1#6069#USDINRCOMP Fwd MW 4M#Ask")</f>
        <v>#N/A</v>
      </c>
    </row>
    <row r="309" spans="1:1">
      <c r="A309" s="23" t="e">
        <f>RTD("tickerplantrtdserver",,"FWRC1#EURINR#Month Wise Rates#0#S#Desc.11")</f>
        <v>#N/A</v>
      </c>
    </row>
    <row r="310" spans="1:1">
      <c r="A310" s="23" t="e">
        <f>RTD("tickerplantrtdserver",,"FWRC1#EURINR#Month Wise Rates#0#S#PillarDate11")</f>
        <v>#N/A</v>
      </c>
    </row>
    <row r="311" spans="1:1">
      <c r="A311" s="34" t="e">
        <f>RTD("tickerplantrtdserver",,"17#2#1#6069#USDINRCOMP Fwd MW 5M#Bid")</f>
        <v>#N/A</v>
      </c>
    </row>
    <row r="312" spans="1:1">
      <c r="A312" s="34" t="e">
        <f>RTD("tickerplantrtdserver",,"17#2#1#6069#USDINRCOMP Fwd MW 5M#Ask")</f>
        <v>#N/A</v>
      </c>
    </row>
    <row r="313" spans="1:1">
      <c r="A313" s="23" t="e">
        <f>RTD("tickerplantrtdserver",,"FWRC1#EURINR#Month Wise Rates#0#S#Desc.12")</f>
        <v>#N/A</v>
      </c>
    </row>
    <row r="314" spans="1:1">
      <c r="A314" s="23" t="e">
        <f>RTD("tickerplantrtdserver",,"FWRC1#EURINR#Month Wise Rates#0#S#PillarDate12")</f>
        <v>#N/A</v>
      </c>
    </row>
    <row r="315" spans="1:1">
      <c r="A315" s="34" t="e">
        <f>RTD("tickerplantrtdserver",,"17#2#1#6069#USDINRCOMP Fwd MW 6M#Bid")</f>
        <v>#N/A</v>
      </c>
    </row>
    <row r="316" spans="1:1">
      <c r="A316" s="34" t="e">
        <f>RTD("tickerplantrtdserver",,"17#2#1#6069#USDINRCOMP Fwd MW 6M#Ask")</f>
        <v>#N/A</v>
      </c>
    </row>
    <row r="317" spans="1:1">
      <c r="A317" s="23" t="e">
        <f>RTD("tickerplantrtdserver",,"FWRC1#EURINR#Month Wise Rates#0#S#Desc.13")</f>
        <v>#N/A</v>
      </c>
    </row>
    <row r="318" spans="1:1">
      <c r="A318" s="23" t="e">
        <f>RTD("tickerplantrtdserver",,"FWRC1#EURINR#Month Wise Rates#0#S#PillarDate13")</f>
        <v>#N/A</v>
      </c>
    </row>
    <row r="319" spans="1:1">
      <c r="A319" s="34" t="e">
        <f>RTD("tickerplantrtdserver",,"17#2#1#6069#USDINRCOMP Fwd MW 7M#Bid")</f>
        <v>#N/A</v>
      </c>
    </row>
    <row r="320" spans="1:1">
      <c r="A320" s="34" t="e">
        <f>RTD("tickerplantrtdserver",,"17#2#1#6069#USDINRCOMP Fwd MW 7M#Ask")</f>
        <v>#N/A</v>
      </c>
    </row>
    <row r="321" spans="1:1">
      <c r="A321" s="23" t="e">
        <f>RTD("tickerplantrtdserver",,"FWRC1#EURINR#Month Wise Rates#0#S#Desc.14")</f>
        <v>#N/A</v>
      </c>
    </row>
    <row r="322" spans="1:1">
      <c r="A322" s="23" t="e">
        <f>RTD("tickerplantrtdserver",,"FWRC1#EURINR#Month Wise Rates#0#S#PillarDate14")</f>
        <v>#N/A</v>
      </c>
    </row>
    <row r="323" spans="1:1">
      <c r="A323" s="34" t="e">
        <f>RTD("tickerplantrtdserver",,"17#2#1#6069#USDINRCOMP Fwd MW 8M#Bid")</f>
        <v>#N/A</v>
      </c>
    </row>
    <row r="324" spans="1:1">
      <c r="A324" s="34" t="e">
        <f>RTD("tickerplantrtdserver",,"17#2#1#6069#USDINRCOMP Fwd MW 8M#Ask")</f>
        <v>#N/A</v>
      </c>
    </row>
    <row r="325" spans="1:1">
      <c r="A325" s="23" t="e">
        <f>RTD("tickerplantrtdserver",,"FWRC1#EURINR#Month Wise Rates#0#S#Desc.15")</f>
        <v>#N/A</v>
      </c>
    </row>
    <row r="326" spans="1:1">
      <c r="A326" s="23" t="e">
        <f>RTD("tickerplantrtdserver",,"FWRC1#EURINR#Month Wise Rates#0#S#PillarDate15")</f>
        <v>#N/A</v>
      </c>
    </row>
    <row r="327" spans="1:1">
      <c r="A327" s="34" t="e">
        <f>RTD("tickerplantrtdserver",,"17#2#1#6069#USDINRCOMP Fwd MW 9M#Bid")</f>
        <v>#N/A</v>
      </c>
    </row>
    <row r="328" spans="1:1">
      <c r="A328" s="34" t="e">
        <f>RTD("tickerplantrtdserver",,"17#2#1#6069#USDINRCOMP Fwd MW 9M#Ask")</f>
        <v>#N/A</v>
      </c>
    </row>
    <row r="329" spans="1:1">
      <c r="A329" s="23" t="e">
        <f>RTD("tickerplantrtdserver",,"FWRC1#EURINR#Month Wise Rates#0#S#Desc.16")</f>
        <v>#N/A</v>
      </c>
    </row>
    <row r="330" spans="1:1">
      <c r="A330" s="23" t="e">
        <f>RTD("tickerplantrtdserver",,"FWRC1#EURINR#Month Wise Rates#0#S#PillarDate16")</f>
        <v>#N/A</v>
      </c>
    </row>
    <row r="331" spans="1:1">
      <c r="A331" s="34" t="e">
        <f>RTD("tickerplantrtdserver",,"17#2#1#6069#USDINRCOMP Fwd MW 10M#Bid")</f>
        <v>#N/A</v>
      </c>
    </row>
    <row r="332" spans="1:1">
      <c r="A332" s="34" t="e">
        <f>RTD("tickerplantrtdserver",,"17#2#1#6069#USDINRCOMP Fwd MW 10M#Ask")</f>
        <v>#N/A</v>
      </c>
    </row>
    <row r="333" spans="1:1">
      <c r="A333" s="23" t="e">
        <f>RTD("tickerplantrtdserver",,"FWRC1#EURINR#Month Wise Rates#0#S#Desc.17")</f>
        <v>#N/A</v>
      </c>
    </row>
    <row r="334" spans="1:1">
      <c r="A334" s="23" t="e">
        <f>RTD("tickerplantrtdserver",,"FWRC1#EURINR#Month Wise Rates#0#S#PillarDate17")</f>
        <v>#N/A</v>
      </c>
    </row>
    <row r="335" spans="1:1">
      <c r="A335" s="34" t="e">
        <f>RTD("tickerplantrtdserver",,"17#2#1#6069#USDINRCOMP Fwd MW 11M#Bid")</f>
        <v>#N/A</v>
      </c>
    </row>
    <row r="336" spans="1:1">
      <c r="A336" s="34" t="e">
        <f>RTD("tickerplantrtdserver",,"17#2#1#6069#USDINRCOMP Fwd MW 11M#Ask")</f>
        <v>#N/A</v>
      </c>
    </row>
    <row r="337" spans="1:2">
      <c r="A337" s="26" t="e">
        <f>RTD("tickerplantrtdserver",,"FWRC1#EURINR#Month Wise Rates#0#S#Desc.18")</f>
        <v>#N/A</v>
      </c>
    </row>
    <row r="338" spans="1:2">
      <c r="A338" s="26" t="e">
        <f>RTD("tickerplantrtdserver",,"FWRC1#EURINR#Month Wise Rates#0#S#PillarDate18")</f>
        <v>#N/A</v>
      </c>
    </row>
    <row r="339" spans="1:2">
      <c r="A339" s="35" t="e">
        <f>RTD("tickerplantrtdserver",,"17#2#1#6069#USDINRCOMP Fwd MW 12M#Bid")</f>
        <v>#N/A</v>
      </c>
    </row>
    <row r="340" spans="1:2">
      <c r="A340" s="35" t="e">
        <f>RTD("tickerplantrtdserver",,"17#2#1#6069#USDINRCOMP Fwd MW 12M#Ask")</f>
        <v>#N/A</v>
      </c>
    </row>
    <row r="341" spans="1:2">
      <c r="A341" s="23" t="e">
        <f>RTD("tickerplantrtdserver",,"FWRC1#USDINR#Month Wise Rates#1#FwdOutrightBid7")</f>
        <v>#N/A</v>
      </c>
      <c r="B341" s="31" t="s">
        <v>24</v>
      </c>
    </row>
    <row r="342" spans="1:2">
      <c r="A342" s="23" t="e">
        <f>RTD("tickerplantrtdserver",,"FWRC1#USDINR#Month Wise Rates#1#FwdOutrightAsk7")</f>
        <v>#N/A</v>
      </c>
    </row>
    <row r="343" spans="1:2">
      <c r="A343" s="23" t="e">
        <f>RTD("tickerplantrtdserver",,"FWRC1#USDINR#Month Wise Rates#1#FwdOutrightBid8")</f>
        <v>#N/A</v>
      </c>
    </row>
    <row r="344" spans="1:2">
      <c r="A344" s="23" t="e">
        <f>RTD("tickerplantrtdserver",,"FWRC1#USDINR#Month Wise Rates#1#FwdOutrightAsk8")</f>
        <v>#N/A</v>
      </c>
    </row>
    <row r="345" spans="1:2">
      <c r="A345" s="23" t="e">
        <f>RTD("tickerplantrtdserver",,"FWRC1#USDINR#Month Wise Rates#1#FwdOutrightBid9")</f>
        <v>#N/A</v>
      </c>
    </row>
    <row r="346" spans="1:2">
      <c r="A346" s="23" t="e">
        <f>RTD("tickerplantrtdserver",,"FWRC1#USDINR#Month Wise Rates#1#FwdOutrightAsk9")</f>
        <v>#N/A</v>
      </c>
    </row>
    <row r="347" spans="1:2">
      <c r="A347" s="23" t="e">
        <f>RTD("tickerplantrtdserver",,"FWRC1#USDINR#Month Wise Rates#1#FwdOutrightBid10")</f>
        <v>#N/A</v>
      </c>
    </row>
    <row r="348" spans="1:2">
      <c r="A348" s="23" t="e">
        <f>RTD("tickerplantrtdserver",,"FWRC1#USDINR#Month Wise Rates#1#FwdOutrightAsk10")</f>
        <v>#N/A</v>
      </c>
    </row>
    <row r="349" spans="1:2">
      <c r="A349" s="23" t="e">
        <f>RTD("tickerplantrtdserver",,"FWRC1#USDINR#Month Wise Rates#1#FwdOutrightBid11")</f>
        <v>#N/A</v>
      </c>
    </row>
    <row r="350" spans="1:2">
      <c r="A350" s="23" t="e">
        <f>RTD("tickerplantrtdserver",,"FWRC1#USDINR#Month Wise Rates#1#FwdOutrightAsk11")</f>
        <v>#N/A</v>
      </c>
    </row>
    <row r="351" spans="1:2">
      <c r="A351" s="23" t="e">
        <f>RTD("tickerplantrtdserver",,"FWRC1#USDINR#Month Wise Rates#1#FwdOutrightBid12")</f>
        <v>#N/A</v>
      </c>
    </row>
    <row r="352" spans="1:2">
      <c r="A352" s="23" t="e">
        <f>RTD("tickerplantrtdserver",,"FWRC1#USDINR#Month Wise Rates#1#FwdOutrightAsk12")</f>
        <v>#N/A</v>
      </c>
    </row>
    <row r="353" spans="1:2">
      <c r="A353" s="23" t="e">
        <f>RTD("tickerplantrtdserver",,"FWRC1#USDINR#Month Wise Rates#1#FwdOutrightBid13")</f>
        <v>#N/A</v>
      </c>
    </row>
    <row r="354" spans="1:2">
      <c r="A354" s="23" t="e">
        <f>RTD("tickerplantrtdserver",,"FWRC1#USDINR#Month Wise Rates#1#FwdOutrightAsk13")</f>
        <v>#N/A</v>
      </c>
    </row>
    <row r="355" spans="1:2">
      <c r="A355" s="23" t="e">
        <f>RTD("tickerplantrtdserver",,"FWRC1#USDINR#Month Wise Rates#1#FwdOutrightBid14")</f>
        <v>#N/A</v>
      </c>
    </row>
    <row r="356" spans="1:2">
      <c r="A356" s="23" t="e">
        <f>RTD("tickerplantrtdserver",,"FWRC1#USDINR#Month Wise Rates#1#FwdOutrightAsk14")</f>
        <v>#N/A</v>
      </c>
    </row>
    <row r="357" spans="1:2">
      <c r="A357" s="23" t="e">
        <f>RTD("tickerplantrtdserver",,"FWRC1#USDINR#Month Wise Rates#1#FwdOutrightBid15")</f>
        <v>#N/A</v>
      </c>
    </row>
    <row r="358" spans="1:2">
      <c r="A358" s="23" t="e">
        <f>RTD("tickerplantrtdserver",,"FWRC1#USDINR#Month Wise Rates#1#FwdOutrightAsk15")</f>
        <v>#N/A</v>
      </c>
    </row>
    <row r="359" spans="1:2">
      <c r="A359" s="23" t="e">
        <f>RTD("tickerplantrtdserver",,"FWRC1#USDINR#Month Wise Rates#1#FwdOutrightBid16")</f>
        <v>#N/A</v>
      </c>
    </row>
    <row r="360" spans="1:2">
      <c r="A360" s="43" t="e">
        <f>RTD("tickerplantrtdserver",,"FWRC1#USDINR#Month Wise Rates#1#FwdOutrightAsk17")</f>
        <v>#N/A</v>
      </c>
    </row>
    <row r="361" spans="1:2">
      <c r="A361" s="23" t="e">
        <f>RTD("tickerplantrtdserver",,"FWRC1#USDINR#Month Wise Rates#1#FwdOutrightBid17")</f>
        <v>#N/A</v>
      </c>
    </row>
    <row r="362" spans="1:2">
      <c r="A362" s="23" t="e">
        <f>RTD("tickerplantrtdserver",,"FWRC1#USDINR#Month Wise Rates#1#FwdOutrightAsk17")</f>
        <v>#N/A</v>
      </c>
    </row>
    <row r="363" spans="1:2">
      <c r="A363" s="26" t="e">
        <f>RTD("tickerplantrtdserver",,"FWRC1#USDINR#Month Wise Rates#1#FwdOutrightBid18")</f>
        <v>#N/A</v>
      </c>
    </row>
    <row r="364" spans="1:2">
      <c r="A364" s="26" t="e">
        <f>RTD("tickerplantrtdserver",,"FWRC1#USDINR#Month Wise Rates#1#FwdOutrightAsk18")</f>
        <v>#N/A</v>
      </c>
    </row>
    <row r="365" spans="1:2">
      <c r="A365" s="36" t="e">
        <f>RTD("tickerplantrtdserver",,"FWRC1#EURINR#Month Wise Rates#0#S#PillarDate2")</f>
        <v>#N/A</v>
      </c>
      <c r="B365" s="32" t="s">
        <v>26</v>
      </c>
    </row>
    <row r="366" spans="1:2">
      <c r="A366" s="34" t="e">
        <f>RTD("tickerplantrtdserver",,"FWRC1#EURINR#Month Wise Rates#0#BidPrice2")</f>
        <v>#N/A</v>
      </c>
    </row>
    <row r="367" spans="1:2">
      <c r="A367" s="34" t="e">
        <f>RTD("tickerplantrtdserver",,"FWRC1#EURINR#Month Wise Rates#0#AskPrice2")</f>
        <v>#N/A</v>
      </c>
    </row>
    <row r="368" spans="1:2">
      <c r="A368" s="23" t="e">
        <f>RTD("tickerplantrtdserver",,"FWRC1#EURINR#Month Wise Rates#0#S#Desc.7")</f>
        <v>#N/A</v>
      </c>
    </row>
    <row r="369" spans="1:1">
      <c r="A369" s="23" t="e">
        <f>RTD("tickerplantrtdserver",,"FWRC1#EURINR#Month Wise Rates#0#S#PillarDate7")</f>
        <v>#N/A</v>
      </c>
    </row>
    <row r="370" spans="1:1">
      <c r="A370" s="34" t="e">
        <f>RTD("tickerplantrtdserver",,"FWRC1#EURINR#Month Wise Rates#0#BidPrice7")</f>
        <v>#N/A</v>
      </c>
    </row>
    <row r="371" spans="1:1">
      <c r="A371" s="34" t="e">
        <f>RTD("tickerplantrtdserver",,"FWRC1#EURINR#Month Wise Rates#0#AskPrice7")</f>
        <v>#N/A</v>
      </c>
    </row>
    <row r="372" spans="1:1">
      <c r="A372" s="23" t="e">
        <f>RTD("tickerplantrtdserver",,"FWRC1#EURINR#Month Wise Rates#0#S#Desc.8")</f>
        <v>#N/A</v>
      </c>
    </row>
    <row r="373" spans="1:1">
      <c r="A373" s="23" t="e">
        <f>RTD("tickerplantrtdserver",,"FWRC1#EURINR#Month Wise Rates#0#S#PillarDate8")</f>
        <v>#N/A</v>
      </c>
    </row>
    <row r="374" spans="1:1">
      <c r="A374" s="34" t="e">
        <f>RTD("tickerplantrtdserver",,"FWRC1#EURINR#Month Wise Rates#0#BidPrice8")</f>
        <v>#N/A</v>
      </c>
    </row>
    <row r="375" spans="1:1">
      <c r="A375" s="34" t="e">
        <f>RTD("tickerplantrtdserver",,"FWRC1#EURINR#Month Wise Rates#0#AskPrice8")</f>
        <v>#N/A</v>
      </c>
    </row>
    <row r="376" spans="1:1">
      <c r="A376" s="23" t="e">
        <f>RTD("tickerplantrtdserver",,"FWRC1#EURINR#Month Wise Rates#0#S#Desc.9")</f>
        <v>#N/A</v>
      </c>
    </row>
    <row r="377" spans="1:1">
      <c r="A377" s="23" t="e">
        <f>RTD("tickerplantrtdserver",,"FWRC1#EURINR#Month Wise Rates#0#S#PillarDate9")</f>
        <v>#N/A</v>
      </c>
    </row>
    <row r="378" spans="1:1">
      <c r="A378" s="34" t="e">
        <f>RTD("tickerplantrtdserver",,"FWRC1#EURINR#Month Wise Rates#0#BidPrice9")</f>
        <v>#N/A</v>
      </c>
    </row>
    <row r="379" spans="1:1">
      <c r="A379" s="34" t="e">
        <f>RTD("tickerplantrtdserver",,"FWRC1#EURINR#Month Wise Rates#0#AskPrice9")</f>
        <v>#N/A</v>
      </c>
    </row>
    <row r="380" spans="1:1">
      <c r="A380" s="23" t="e">
        <f>RTD("tickerplantrtdserver",,"FWRC1#EURINR#Month Wise Rates#0#S#Desc.10")</f>
        <v>#N/A</v>
      </c>
    </row>
    <row r="381" spans="1:1">
      <c r="A381" s="23" t="e">
        <f>RTD("tickerplantrtdserver",,"FWRC1#EURINR#Month Wise Rates#0#S#PillarDate10")</f>
        <v>#N/A</v>
      </c>
    </row>
    <row r="382" spans="1:1">
      <c r="A382" s="34" t="e">
        <f>RTD("tickerplantrtdserver",,"FWRC1#EURINR#Month Wise Rates#0#BidPrice10")</f>
        <v>#N/A</v>
      </c>
    </row>
    <row r="383" spans="1:1">
      <c r="A383" s="34" t="e">
        <f>RTD("tickerplantrtdserver",,"FWRC1#EURINR#Month Wise Rates#0#AskPrice10")</f>
        <v>#N/A</v>
      </c>
    </row>
    <row r="384" spans="1:1">
      <c r="A384" s="23" t="e">
        <f>RTD("tickerplantrtdserver",,"FWRC1#EURINR#Month Wise Rates#0#S#Desc.11")</f>
        <v>#N/A</v>
      </c>
    </row>
    <row r="385" spans="1:1">
      <c r="A385" s="23" t="e">
        <f>RTD("tickerplantrtdserver",,"FWRC1#EURINR#Month Wise Rates#0#S#PillarDate11")</f>
        <v>#N/A</v>
      </c>
    </row>
    <row r="386" spans="1:1">
      <c r="A386" s="34" t="e">
        <f>RTD("tickerplantrtdserver",,"FWRC1#EURINR#Month Wise Rates#0#BidPrice11")</f>
        <v>#N/A</v>
      </c>
    </row>
    <row r="387" spans="1:1">
      <c r="A387" s="34" t="e">
        <f>RTD("tickerplantrtdserver",,"FWRC1#EURINR#Month Wise Rates#0#AskPrice11")</f>
        <v>#N/A</v>
      </c>
    </row>
    <row r="388" spans="1:1">
      <c r="A388" s="23" t="e">
        <f>RTD("tickerplantrtdserver",,"FWRC1#EURINR#Month Wise Rates#0#S#Desc.12")</f>
        <v>#N/A</v>
      </c>
    </row>
    <row r="389" spans="1:1">
      <c r="A389" s="23" t="e">
        <f>RTD("tickerplantrtdserver",,"FWRC1#EURINR#Month Wise Rates#0#S#PillarDate12")</f>
        <v>#N/A</v>
      </c>
    </row>
    <row r="390" spans="1:1">
      <c r="A390" s="34" t="e">
        <f>RTD("tickerplantrtdserver",,"FWRC1#EURINR#Month Wise Rates#0#BidPrice12")</f>
        <v>#N/A</v>
      </c>
    </row>
    <row r="391" spans="1:1">
      <c r="A391" s="34" t="e">
        <f>RTD("tickerplantrtdserver",,"FWRC1#EURINR#Month Wise Rates#0#AskPrice12")</f>
        <v>#N/A</v>
      </c>
    </row>
    <row r="392" spans="1:1">
      <c r="A392" s="23" t="e">
        <f>RTD("tickerplantrtdserver",,"FWRC1#EURINR#Month Wise Rates#0#S#Desc.13")</f>
        <v>#N/A</v>
      </c>
    </row>
    <row r="393" spans="1:1">
      <c r="A393" s="23" t="e">
        <f>RTD("tickerplantrtdserver",,"FWRC1#EURINR#Month Wise Rates#0#S#PillarDate13")</f>
        <v>#N/A</v>
      </c>
    </row>
    <row r="394" spans="1:1">
      <c r="A394" s="34" t="e">
        <f>RTD("tickerplantrtdserver",,"FWRC1#EURINR#Month Wise Rates#0#BidPrice13")</f>
        <v>#N/A</v>
      </c>
    </row>
    <row r="395" spans="1:1">
      <c r="A395" s="34" t="e">
        <f>RTD("tickerplantrtdserver",,"FWRC1#EURINR#Month Wise Rates#0#AskPrice13")</f>
        <v>#N/A</v>
      </c>
    </row>
    <row r="396" spans="1:1">
      <c r="A396" s="23" t="e">
        <f>RTD("tickerplantrtdserver",,"FWRC1#EURINR#Month Wise Rates#0#S#Desc.14")</f>
        <v>#N/A</v>
      </c>
    </row>
    <row r="397" spans="1:1">
      <c r="A397" s="23" t="e">
        <f>RTD("tickerplantrtdserver",,"FWRC1#EURINR#Month Wise Rates#0#S#PillarDate14")</f>
        <v>#N/A</v>
      </c>
    </row>
    <row r="398" spans="1:1">
      <c r="A398" s="34" t="e">
        <f>RTD("tickerplantrtdserver",,"FWRC1#EURINR#Month Wise Rates#0#BidPrice14")</f>
        <v>#N/A</v>
      </c>
    </row>
    <row r="399" spans="1:1">
      <c r="A399" s="34" t="e">
        <f>RTD("tickerplantrtdserver",,"FWRC1#EURINR#Month Wise Rates#0#AskPrice14")</f>
        <v>#N/A</v>
      </c>
    </row>
    <row r="400" spans="1:1">
      <c r="A400" s="23" t="e">
        <f>RTD("tickerplantrtdserver",,"FWRC1#EURINR#Month Wise Rates#0#S#Desc.15")</f>
        <v>#N/A</v>
      </c>
    </row>
    <row r="401" spans="1:2">
      <c r="A401" s="23" t="e">
        <f>RTD("tickerplantrtdserver",,"FWRC1#EURINR#Month Wise Rates#0#S#PillarDate15")</f>
        <v>#N/A</v>
      </c>
    </row>
    <row r="402" spans="1:2">
      <c r="A402" s="34" t="e">
        <f>RTD("tickerplantrtdserver",,"FWRC1#EURINR#Month Wise Rates#0#BidPrice15")</f>
        <v>#N/A</v>
      </c>
    </row>
    <row r="403" spans="1:2">
      <c r="A403" s="34" t="e">
        <f>RTD("tickerplantrtdserver",,"FWRC1#EURINR#Month Wise Rates#0#AskPrice15")</f>
        <v>#N/A</v>
      </c>
    </row>
    <row r="404" spans="1:2">
      <c r="A404" s="23" t="e">
        <f>RTD("tickerplantrtdserver",,"FWRC1#EURINR#Month Wise Rates#0#S#Desc.16")</f>
        <v>#N/A</v>
      </c>
    </row>
    <row r="405" spans="1:2">
      <c r="A405" s="23" t="e">
        <f>RTD("tickerplantrtdserver",,"FWRC1#EURINR#Month Wise Rates#0#S#PillarDate16")</f>
        <v>#N/A</v>
      </c>
    </row>
    <row r="406" spans="1:2">
      <c r="A406" s="34" t="e">
        <f>RTD("tickerplantrtdserver",,"FWRC1#EURINR#Month Wise Rates#0#BidPrice16")</f>
        <v>#N/A</v>
      </c>
    </row>
    <row r="407" spans="1:2">
      <c r="A407" s="34" t="e">
        <f>RTD("tickerplantrtdserver",,"FWRC1#EURINR#Month Wise Rates#0#AskPrice16")</f>
        <v>#N/A</v>
      </c>
    </row>
    <row r="408" spans="1:2">
      <c r="A408" s="23" t="e">
        <f>RTD("tickerplantrtdserver",,"FWRC1#EURINR#Month Wise Rates#0#S#Desc.17")</f>
        <v>#N/A</v>
      </c>
    </row>
    <row r="409" spans="1:2">
      <c r="A409" s="23" t="e">
        <f>RTD("tickerplantrtdserver",,"FWRC1#EURINR#Month Wise Rates#0#S#PillarDate17")</f>
        <v>#N/A</v>
      </c>
    </row>
    <row r="410" spans="1:2">
      <c r="A410" s="34" t="e">
        <f>RTD("tickerplantrtdserver",,"FWRC1#EURINR#Month Wise Rates#0#BidPrice17")</f>
        <v>#N/A</v>
      </c>
    </row>
    <row r="411" spans="1:2">
      <c r="A411" s="34" t="e">
        <f>RTD("tickerplantrtdserver",,"FWRC1#EURINR#Month Wise Rates#0#AskPrice17")</f>
        <v>#N/A</v>
      </c>
    </row>
    <row r="412" spans="1:2">
      <c r="A412" s="26" t="e">
        <f>RTD("tickerplantrtdserver",,"FWRC1#EURINR#Month Wise Rates#0#S#Desc.18")</f>
        <v>#N/A</v>
      </c>
    </row>
    <row r="413" spans="1:2">
      <c r="A413" s="26" t="e">
        <f>RTD("tickerplantrtdserver",,"FWRC1#EURINR#Month Wise Rates#0#S#PillarDate18")</f>
        <v>#N/A</v>
      </c>
    </row>
    <row r="414" spans="1:2">
      <c r="A414" s="35" t="e">
        <f>RTD("tickerplantrtdserver",,"FWRC1#EURINR#Month Wise Rates#0#BidPrice18")</f>
        <v>#N/A</v>
      </c>
    </row>
    <row r="415" spans="1:2" ht="15.75" thickBot="1">
      <c r="A415" s="35" t="e">
        <f>RTD("tickerplantrtdserver",,"FWRC1#EURINR#Month Wise Rates#0#AskPrice18")</f>
        <v>#N/A</v>
      </c>
    </row>
    <row r="416" spans="1:2" ht="15.75" thickBot="1">
      <c r="A416" s="29" t="e">
        <f>RTD("tickerplantrtdserver",,"17#3#1#5949#EURINRCOMP#Bid")</f>
        <v>#N/A</v>
      </c>
      <c r="B416" t="s">
        <v>27</v>
      </c>
    </row>
    <row r="417" spans="1:2" ht="15.75" thickBot="1">
      <c r="A417" s="30" t="e">
        <f>RTD("tickerplantrtdserver",,"17#3#1#5949#EURINRCOMP#Ask")</f>
        <v>#N/A</v>
      </c>
    </row>
    <row r="418" spans="1:2">
      <c r="A418" s="3" t="e">
        <f>RTD("tickerplantrtdserver",,"FWRC1#EURINR#Month Wise Rates#0#S#PillarDate0")</f>
        <v>#N/A</v>
      </c>
      <c r="B418" t="s">
        <v>28</v>
      </c>
    </row>
    <row r="419" spans="1:2">
      <c r="A419" s="37" t="e">
        <f>RTD("tickerplantrtdserver",,"FWRC1#EURINR#Month Wise Rates#0#FwdOutrightBid7")</f>
        <v>#N/A</v>
      </c>
      <c r="B419" s="31" t="s">
        <v>29</v>
      </c>
    </row>
    <row r="420" spans="1:2">
      <c r="A420" s="37" t="e">
        <f>RTD("tickerplantrtdserver",,"FWRC1#EURINR#Month Wise Rates#0#FwdOutrightAsk7")</f>
        <v>#N/A</v>
      </c>
    </row>
    <row r="421" spans="1:2">
      <c r="A421" s="37" t="e">
        <f>RTD("tickerplantrtdserver",,"FWRC1#EURINR#Month Wise Rates#0#FwdOutrightBid8")</f>
        <v>#N/A</v>
      </c>
    </row>
    <row r="422" spans="1:2">
      <c r="A422" s="37" t="e">
        <f>RTD("tickerplantrtdserver",,"FWRC1#EURINR#Month Wise Rates#0#FwdOutrightAsk8")</f>
        <v>#N/A</v>
      </c>
    </row>
    <row r="423" spans="1:2">
      <c r="A423" s="37" t="e">
        <f>RTD("tickerplantrtdserver",,"FWRC1#EURINR#Month Wise Rates#0#FwdOutrightBid9")</f>
        <v>#N/A</v>
      </c>
    </row>
    <row r="424" spans="1:2">
      <c r="A424" s="37" t="e">
        <f>RTD("tickerplantrtdserver",,"FWRC1#EURINR#Month Wise Rates#0#FwdOutrightAsk9")</f>
        <v>#N/A</v>
      </c>
    </row>
    <row r="425" spans="1:2">
      <c r="A425" s="37" t="e">
        <f>RTD("tickerplantrtdserver",,"FWRC1#EURINR#Month Wise Rates#0#FwdOutrightBid10")</f>
        <v>#N/A</v>
      </c>
    </row>
    <row r="426" spans="1:2">
      <c r="A426" s="37" t="e">
        <f>RTD("tickerplantrtdserver",,"FWRC1#EURINR#Month Wise Rates#0#FwdOutrightAsk10")</f>
        <v>#N/A</v>
      </c>
    </row>
    <row r="427" spans="1:2">
      <c r="A427" s="37" t="e">
        <f>RTD("tickerplantrtdserver",,"FWRC1#EURINR#Month Wise Rates#0#FwdOutrightBid11")</f>
        <v>#N/A</v>
      </c>
    </row>
    <row r="428" spans="1:2">
      <c r="A428" s="37" t="e">
        <f>RTD("tickerplantrtdserver",,"FWRC1#EURINR#Month Wise Rates#0#FwdOutrightAsk11")</f>
        <v>#N/A</v>
      </c>
    </row>
    <row r="429" spans="1:2">
      <c r="A429" s="37" t="e">
        <f>RTD("tickerplantrtdserver",,"FWRC1#EURINR#Month Wise Rates#0#FwdOutrightBid12")</f>
        <v>#N/A</v>
      </c>
    </row>
    <row r="430" spans="1:2">
      <c r="A430" s="37" t="e">
        <f>RTD("tickerplantrtdserver",,"FWRC1#EURINR#Month Wise Rates#0#FwdOutrightAsk12")</f>
        <v>#N/A</v>
      </c>
    </row>
    <row r="431" spans="1:2">
      <c r="A431" s="37" t="e">
        <f>RTD("tickerplantrtdserver",,"FWRC1#EURINR#Month Wise Rates#0#FwdOutrightBid13")</f>
        <v>#N/A</v>
      </c>
    </row>
    <row r="432" spans="1:2">
      <c r="A432" s="37" t="e">
        <f>RTD("tickerplantrtdserver",,"FWRC1#EURINR#Month Wise Rates#0#FwdOutrightAsk13")</f>
        <v>#N/A</v>
      </c>
    </row>
    <row r="433" spans="1:2">
      <c r="A433" s="37" t="e">
        <f>RTD("tickerplantrtdserver",,"FWRC1#EURINR#Month Wise Rates#0#FwdOutrightBid14")</f>
        <v>#N/A</v>
      </c>
    </row>
    <row r="434" spans="1:2">
      <c r="A434" s="37" t="e">
        <f>RTD("tickerplantrtdserver",,"FWRC1#EURINR#Month Wise Rates#0#FwdOutrightAsk14")</f>
        <v>#N/A</v>
      </c>
    </row>
    <row r="435" spans="1:2">
      <c r="A435" s="37" t="e">
        <f>RTD("tickerplantrtdserver",,"FWRC1#EURINR#Month Wise Rates#0#FwdOutrightBid15")</f>
        <v>#N/A</v>
      </c>
    </row>
    <row r="436" spans="1:2">
      <c r="A436" s="37" t="e">
        <f>RTD("tickerplantrtdserver",,"FWRC1#EURINR#Month Wise Rates#0#FwdOutrightAsk15")</f>
        <v>#N/A</v>
      </c>
    </row>
    <row r="437" spans="1:2">
      <c r="A437" s="37" t="e">
        <f>RTD("tickerplantrtdserver",,"FWRC1#EURINR#Month Wise Rates#0#FwdOutrightBid16")</f>
        <v>#N/A</v>
      </c>
    </row>
    <row r="438" spans="1:2">
      <c r="A438" s="37" t="e">
        <f>RTD("tickerplantrtdserver",,"FWRC1#EURINR#Month Wise Rates#0#FwdOutrightAsk16")</f>
        <v>#N/A</v>
      </c>
    </row>
    <row r="439" spans="1:2">
      <c r="A439" s="37" t="e">
        <f>RTD("tickerplantrtdserver",,"FWRC1#EURINR#Month Wise Rates#0#FwdOutrightBid17")</f>
        <v>#N/A</v>
      </c>
    </row>
    <row r="440" spans="1:2">
      <c r="A440" s="37" t="e">
        <f>RTD("tickerplantrtdserver",,"FWRC1#EURINR#Month Wise Rates#0#FwdOutrightAsk17")</f>
        <v>#N/A</v>
      </c>
    </row>
    <row r="441" spans="1:2">
      <c r="A441" s="38" t="e">
        <f>RTD("tickerplantrtdserver",,"FWRC1#EURINR#Month Wise Rates#0#FwdOutrightBid18")</f>
        <v>#N/A</v>
      </c>
    </row>
    <row r="442" spans="1:2">
      <c r="A442" s="38" t="e">
        <f>RTD("tickerplantrtdserver",,"FWRC1#EURINR#Month Wise Rates#0#FwdOutrightAsk18")</f>
        <v>#N/A</v>
      </c>
    </row>
    <row r="443" spans="1:2">
      <c r="A443" s="36" t="e">
        <f>RTD("tickerplantrtdserver",,"FWRC1#GBPINR#Month Wise Rates#0#S#PillarDate2")</f>
        <v>#N/A</v>
      </c>
      <c r="B443" s="32" t="s">
        <v>30</v>
      </c>
    </row>
    <row r="444" spans="1:2">
      <c r="A444" s="44" t="e">
        <f>RTD("tickerplantrtdserver",,"FWRC1#GBPINR#Month Wise Rates#0#BidPrice2")</f>
        <v>#N/A</v>
      </c>
    </row>
    <row r="445" spans="1:2">
      <c r="A445" s="44" t="e">
        <f>RTD("tickerplantrtdserver",,"FWRC1#GBPINR#Month Wise Rates#0#AskPrice2")</f>
        <v>#N/A</v>
      </c>
    </row>
    <row r="446" spans="1:2">
      <c r="A446" s="43" t="e">
        <f>RTD("tickerplantrtdserver",,"FWRC1#GBPINR#Month Wise Rates#0#S#Desc.7")</f>
        <v>#N/A</v>
      </c>
    </row>
    <row r="447" spans="1:2">
      <c r="A447" s="43" t="e">
        <f>RTD("tickerplantrtdserver",,"FWRC1#GBPINR#Month Wise Rates#0#S#PillarDate7")</f>
        <v>#N/A</v>
      </c>
    </row>
    <row r="448" spans="1:2">
      <c r="A448" s="44" t="e">
        <f>RTD("tickerplantrtdserver",,"FWRC1#GBPINR#Month Wise Rates#0#BidPrice7")</f>
        <v>#N/A</v>
      </c>
    </row>
    <row r="449" spans="1:1">
      <c r="A449" s="44" t="e">
        <f>RTD("tickerplantrtdserver",,"FWRC1#GBPINR#Month Wise Rates#0#AskPrice7")</f>
        <v>#N/A</v>
      </c>
    </row>
    <row r="450" spans="1:1">
      <c r="A450" s="43" t="e">
        <f>RTD("tickerplantrtdserver",,"FWRC1#GBPINR#Month Wise Rates#0#S#Desc.8")</f>
        <v>#N/A</v>
      </c>
    </row>
    <row r="451" spans="1:1">
      <c r="A451" s="43" t="e">
        <f>RTD("tickerplantrtdserver",,"FWRC1#GBPINR#Month Wise Rates#0#S#PillarDate8")</f>
        <v>#N/A</v>
      </c>
    </row>
    <row r="452" spans="1:1">
      <c r="A452" s="44" t="e">
        <f>RTD("tickerplantrtdserver",,"FWRC1#GBPINR#Month Wise Rates#0#BidPrice8")</f>
        <v>#N/A</v>
      </c>
    </row>
    <row r="453" spans="1:1">
      <c r="A453" s="44" t="e">
        <f>RTD("tickerplantrtdserver",,"FWRC1#GBPINR#Month Wise Rates#0#AskPrice8")</f>
        <v>#N/A</v>
      </c>
    </row>
    <row r="454" spans="1:1">
      <c r="A454" s="43" t="e">
        <f>RTD("tickerplantrtdserver",,"FWRC1#GBPINR#Month Wise Rates#0#S#Desc.9")</f>
        <v>#N/A</v>
      </c>
    </row>
    <row r="455" spans="1:1">
      <c r="A455" s="43" t="e">
        <f>RTD("tickerplantrtdserver",,"FWRC1#GBPINR#Month Wise Rates#0#S#PillarDate9")</f>
        <v>#N/A</v>
      </c>
    </row>
    <row r="456" spans="1:1">
      <c r="A456" s="44" t="e">
        <f>RTD("tickerplantrtdserver",,"FWRC1#GBPINR#Month Wise Rates#0#BidPrice9")</f>
        <v>#N/A</v>
      </c>
    </row>
    <row r="457" spans="1:1">
      <c r="A457" s="44" t="e">
        <f>RTD("tickerplantrtdserver",,"FWRC1#GBPINR#Month Wise Rates#0#AskPrice9")</f>
        <v>#N/A</v>
      </c>
    </row>
    <row r="458" spans="1:1">
      <c r="A458" s="43" t="e">
        <f>RTD("tickerplantrtdserver",,"FWRC1#GBPINR#Month Wise Rates#0#S#Desc.10")</f>
        <v>#N/A</v>
      </c>
    </row>
    <row r="459" spans="1:1">
      <c r="A459" s="43" t="e">
        <f>RTD("tickerplantrtdserver",,"FWRC1#GBPINR#Month Wise Rates#0#S#PillarDate10")</f>
        <v>#N/A</v>
      </c>
    </row>
    <row r="460" spans="1:1">
      <c r="A460" s="44" t="e">
        <f>RTD("tickerplantrtdserver",,"FWRC1#GBPINR#Month Wise Rates#0#BidPrice10")</f>
        <v>#N/A</v>
      </c>
    </row>
    <row r="461" spans="1:1">
      <c r="A461" s="44" t="e">
        <f>RTD("tickerplantrtdserver",,"FWRC1#GBPINR#Month Wise Rates#0#AskPrice10")</f>
        <v>#N/A</v>
      </c>
    </row>
    <row r="462" spans="1:1">
      <c r="A462" s="43" t="e">
        <f>RTD("tickerplantrtdserver",,"FWRC1#GBPINR#Month Wise Rates#0#S#Desc.11")</f>
        <v>#N/A</v>
      </c>
    </row>
    <row r="463" spans="1:1">
      <c r="A463" s="43" t="e">
        <f>RTD("tickerplantrtdserver",,"FWRC1#GBPINR#Month Wise Rates#0#S#PillarDate11")</f>
        <v>#N/A</v>
      </c>
    </row>
    <row r="464" spans="1:1">
      <c r="A464" s="44" t="e">
        <f>RTD("tickerplantrtdserver",,"FWRC1#GBPINR#Month Wise Rates#0#BidPrice11")</f>
        <v>#N/A</v>
      </c>
    </row>
    <row r="465" spans="1:1">
      <c r="A465" s="44" t="e">
        <f>RTD("tickerplantrtdserver",,"FWRC1#GBPINR#Month Wise Rates#0#AskPrice11")</f>
        <v>#N/A</v>
      </c>
    </row>
    <row r="466" spans="1:1">
      <c r="A466" s="43" t="e">
        <f>RTD("tickerplantrtdserver",,"FWRC1#GBPINR#Month Wise Rates#0#S#Desc.12")</f>
        <v>#N/A</v>
      </c>
    </row>
    <row r="467" spans="1:1">
      <c r="A467" s="43" t="e">
        <f>RTD("tickerplantrtdserver",,"FWRC1#GBPINR#Month Wise Rates#0#S#PillarDate12")</f>
        <v>#N/A</v>
      </c>
    </row>
    <row r="468" spans="1:1">
      <c r="A468" s="44" t="e">
        <f>RTD("tickerplantrtdserver",,"FWRC1#GBPINR#Month Wise Rates#0#BidPrice12")</f>
        <v>#N/A</v>
      </c>
    </row>
    <row r="469" spans="1:1">
      <c r="A469" s="44" t="e">
        <f>RTD("tickerplantrtdserver",,"FWRC1#GBPINR#Month Wise Rates#0#AskPrice12")</f>
        <v>#N/A</v>
      </c>
    </row>
    <row r="470" spans="1:1">
      <c r="A470" s="43" t="e">
        <f>RTD("tickerplantrtdserver",,"FWRC1#GBPINR#Month Wise Rates#0#S#Desc.13")</f>
        <v>#N/A</v>
      </c>
    </row>
    <row r="471" spans="1:1">
      <c r="A471" s="43" t="e">
        <f>RTD("tickerplantrtdserver",,"FWRC1#GBPINR#Month Wise Rates#0#S#PillarDate13")</f>
        <v>#N/A</v>
      </c>
    </row>
    <row r="472" spans="1:1">
      <c r="A472" s="44" t="e">
        <f>RTD("tickerplantrtdserver",,"FWRC1#GBPINR#Month Wise Rates#0#BidPrice13")</f>
        <v>#N/A</v>
      </c>
    </row>
    <row r="473" spans="1:1">
      <c r="A473" s="44" t="e">
        <f>RTD("tickerplantrtdserver",,"FWRC1#GBPINR#Month Wise Rates#0#AskPrice13")</f>
        <v>#N/A</v>
      </c>
    </row>
    <row r="474" spans="1:1">
      <c r="A474" s="43" t="e">
        <f>RTD("tickerplantrtdserver",,"FWRC1#GBPINR#Month Wise Rates#0#S#Desc.14")</f>
        <v>#N/A</v>
      </c>
    </row>
    <row r="475" spans="1:1">
      <c r="A475" s="43" t="e">
        <f>RTD("tickerplantrtdserver",,"FWRC1#GBPINR#Month Wise Rates#0#S#PillarDate14")</f>
        <v>#N/A</v>
      </c>
    </row>
    <row r="476" spans="1:1">
      <c r="A476" s="44" t="e">
        <f>RTD("tickerplantrtdserver",,"FWRC1#GBPINR#Month Wise Rates#0#BidPrice14")</f>
        <v>#N/A</v>
      </c>
    </row>
    <row r="477" spans="1:1">
      <c r="A477" s="44" t="e">
        <f>RTD("tickerplantrtdserver",,"FWRC1#GBPINR#Month Wise Rates#0#AskPrice14")</f>
        <v>#N/A</v>
      </c>
    </row>
    <row r="478" spans="1:1">
      <c r="A478" s="43" t="e">
        <f>RTD("tickerplantrtdserver",,"FWRC1#GBPINR#Month Wise Rates#0#S#Desc.15")</f>
        <v>#N/A</v>
      </c>
    </row>
    <row r="479" spans="1:1">
      <c r="A479" s="43" t="e">
        <f>RTD("tickerplantrtdserver",,"FWRC1#GBPINR#Month Wise Rates#0#S#PillarDate15")</f>
        <v>#N/A</v>
      </c>
    </row>
    <row r="480" spans="1:1">
      <c r="A480" s="44" t="e">
        <f>RTD("tickerplantrtdserver",,"FWRC1#GBPINR#Month Wise Rates#0#BidPrice15")</f>
        <v>#N/A</v>
      </c>
    </row>
    <row r="481" spans="1:2">
      <c r="A481" s="44" t="e">
        <f>RTD("tickerplantrtdserver",,"FWRC1#GBPINR#Month Wise Rates#0#AskPrice15")</f>
        <v>#N/A</v>
      </c>
    </row>
    <row r="482" spans="1:2">
      <c r="A482" s="43" t="e">
        <f>RTD("tickerplantrtdserver",,"FWRC1#GBPINR#Month Wise Rates#0#S#Desc.16")</f>
        <v>#N/A</v>
      </c>
    </row>
    <row r="483" spans="1:2">
      <c r="A483" s="43" t="e">
        <f>RTD("tickerplantrtdserver",,"FWRC1#GBPINR#Month Wise Rates#0#S#PillarDate16")</f>
        <v>#N/A</v>
      </c>
    </row>
    <row r="484" spans="1:2">
      <c r="A484" s="44" t="e">
        <f>RTD("tickerplantrtdserver",,"FWRC1#GBPINR#Month Wise Rates#0#BidPrice16")</f>
        <v>#N/A</v>
      </c>
    </row>
    <row r="485" spans="1:2">
      <c r="A485" s="44" t="e">
        <f>RTD("tickerplantrtdserver",,"FWRC1#GBPINR#Month Wise Rates#0#AskPrice16")</f>
        <v>#N/A</v>
      </c>
    </row>
    <row r="486" spans="1:2">
      <c r="A486" s="43" t="e">
        <f>RTD("tickerplantrtdserver",,"FWRC1#GBPINR#Month Wise Rates#0#S#Desc.17")</f>
        <v>#N/A</v>
      </c>
    </row>
    <row r="487" spans="1:2">
      <c r="A487" s="43" t="e">
        <f>RTD("tickerplantrtdserver",,"FWRC1#GBPINR#Month Wise Rates#0#S#PillarDate17")</f>
        <v>#N/A</v>
      </c>
    </row>
    <row r="488" spans="1:2">
      <c r="A488" s="44" t="e">
        <f>RTD("tickerplantrtdserver",,"FWRC1#GBPINR#Month Wise Rates#0#BidPrice17")</f>
        <v>#N/A</v>
      </c>
    </row>
    <row r="489" spans="1:2">
      <c r="A489" s="44" t="e">
        <f>RTD("tickerplantrtdserver",,"FWRC1#GBPINR#Month Wise Rates#0#AskPrice17")</f>
        <v>#N/A</v>
      </c>
    </row>
    <row r="490" spans="1:2">
      <c r="A490" s="45" t="e">
        <f>RTD("tickerplantrtdserver",,"FWRC1#GBPINR#Month Wise Rates#0#S#Desc.18")</f>
        <v>#N/A</v>
      </c>
    </row>
    <row r="491" spans="1:2">
      <c r="A491" s="45" t="e">
        <f>RTD("tickerplantrtdserver",,"FWRC1#GBPINR#Month Wise Rates#0#S#PillarDate18")</f>
        <v>#N/A</v>
      </c>
    </row>
    <row r="492" spans="1:2">
      <c r="A492" s="46" t="e">
        <f>RTD("tickerplantrtdserver",,"FWRC1#GBPINR#Month Wise Rates#0#BidPrice18")</f>
        <v>#N/A</v>
      </c>
    </row>
    <row r="493" spans="1:2" ht="15.75" thickBot="1">
      <c r="A493" s="46" t="e">
        <f>RTD("tickerplantrtdserver",,"FWRC1#GBPINR#Month Wise Rates#0#AskPrice18")</f>
        <v>#N/A</v>
      </c>
    </row>
    <row r="494" spans="1:2" ht="15.75" thickBot="1">
      <c r="A494" s="29" t="e">
        <f>RTD("tickerplantrtdserver",,"17#3#1#6031#GBPINRCOMP#Bid")</f>
        <v>#N/A</v>
      </c>
      <c r="B494" t="s">
        <v>27</v>
      </c>
    </row>
    <row r="495" spans="1:2" ht="15.75" thickBot="1">
      <c r="A495" s="30" t="e">
        <f>RTD("tickerplantrtdserver",,"17#3#1#6031#GBPINRCOMP#Ask")</f>
        <v>#N/A</v>
      </c>
    </row>
    <row r="496" spans="1:2">
      <c r="A496" s="3" t="e">
        <f>RTD("tickerplantrtdserver",,"FWRC1#GBPINR#Month Wise Rates#0#S#PillarDate0")</f>
        <v>#N/A</v>
      </c>
      <c r="B496" t="s">
        <v>31</v>
      </c>
    </row>
    <row r="497" spans="1:2">
      <c r="A497" s="37" t="e">
        <f>RTD("tickerplantrtdserver",,"FWRC1#GBPINR#Month Wise Rates#0#FwdOutrightBid7")</f>
        <v>#N/A</v>
      </c>
      <c r="B497" s="31" t="s">
        <v>32</v>
      </c>
    </row>
    <row r="498" spans="1:2">
      <c r="A498" s="37" t="e">
        <f>RTD("tickerplantrtdserver",,"FWRC1#GBPINR#Month Wise Rates#0#FwdOutrightAsk7")</f>
        <v>#N/A</v>
      </c>
    </row>
    <row r="499" spans="1:2">
      <c r="A499" s="37" t="e">
        <f>RTD("tickerplantrtdserver",,"FWRC1#GBPINR#Month Wise Rates#0#FwdOutrightBid8")</f>
        <v>#N/A</v>
      </c>
    </row>
    <row r="500" spans="1:2">
      <c r="A500" s="37" t="e">
        <f>RTD("tickerplantrtdserver",,"FWRC1#GBPINR#Month Wise Rates#0#FwdOutrightAsk8")</f>
        <v>#N/A</v>
      </c>
    </row>
    <row r="501" spans="1:2">
      <c r="A501" s="37" t="e">
        <f>RTD("tickerplantrtdserver",,"FWRC1#GBPINR#Month Wise Rates#0#FwdOutrightBid9")</f>
        <v>#N/A</v>
      </c>
    </row>
    <row r="502" spans="1:2">
      <c r="A502" s="37" t="e">
        <f>RTD("tickerplantrtdserver",,"FWRC1#GBPINR#Month Wise Rates#0#FwdOutrightAsk9")</f>
        <v>#N/A</v>
      </c>
    </row>
    <row r="503" spans="1:2">
      <c r="A503" s="37" t="e">
        <f>RTD("tickerplantrtdserver",,"FWRC1#GBPINR#Month Wise Rates#0#FwdOutrightBid10")</f>
        <v>#N/A</v>
      </c>
    </row>
    <row r="504" spans="1:2">
      <c r="A504" s="37" t="e">
        <f>RTD("tickerplantrtdserver",,"FWRC1#GBPINR#Month Wise Rates#0#FwdOutrightAsk10")</f>
        <v>#N/A</v>
      </c>
    </row>
    <row r="505" spans="1:2">
      <c r="A505" s="37" t="e">
        <f>RTD("tickerplantrtdserver",,"FWRC1#GBPINR#Month Wise Rates#0#FwdOutrightBid11")</f>
        <v>#N/A</v>
      </c>
    </row>
    <row r="506" spans="1:2">
      <c r="A506" s="37" t="e">
        <f>RTD("tickerplantrtdserver",,"FWRC1#GBPINR#Month Wise Rates#0#FwdOutrightAsk11")</f>
        <v>#N/A</v>
      </c>
    </row>
    <row r="507" spans="1:2">
      <c r="A507" s="37" t="e">
        <f>RTD("tickerplantrtdserver",,"FWRC1#GBPINR#Month Wise Rates#0#FwdOutrightBid12")</f>
        <v>#N/A</v>
      </c>
    </row>
    <row r="508" spans="1:2">
      <c r="A508" s="37" t="e">
        <f>RTD("tickerplantrtdserver",,"FWRC1#GBPINR#Month Wise Rates#0#FwdOutrightAsk12")</f>
        <v>#N/A</v>
      </c>
    </row>
    <row r="509" spans="1:2">
      <c r="A509" s="37" t="e">
        <f>RTD("tickerplantrtdserver",,"FWRC1#GBPINR#Month Wise Rates#0#FwdOutrightBid13")</f>
        <v>#N/A</v>
      </c>
    </row>
    <row r="510" spans="1:2">
      <c r="A510" s="37" t="e">
        <f>RTD("tickerplantrtdserver",,"FWRC1#GBPINR#Month Wise Rates#0#FwdOutrightAsk13")</f>
        <v>#N/A</v>
      </c>
    </row>
    <row r="511" spans="1:2">
      <c r="A511" s="37" t="e">
        <f>RTD("tickerplantrtdserver",,"FWRC1#GBPINR#Month Wise Rates#0#FwdOutrightBid14")</f>
        <v>#N/A</v>
      </c>
    </row>
    <row r="512" spans="1:2">
      <c r="A512" s="37" t="e">
        <f>RTD("tickerplantrtdserver",,"FWRC1#GBPINR#Month Wise Rates#0#FwdOutrightAsk14")</f>
        <v>#N/A</v>
      </c>
    </row>
    <row r="513" spans="1:2">
      <c r="A513" s="37" t="e">
        <f>RTD("tickerplantrtdserver",,"FWRC1#GBPINR#Month Wise Rates#0#FwdOutrightBid15")</f>
        <v>#N/A</v>
      </c>
    </row>
    <row r="514" spans="1:2">
      <c r="A514" s="37" t="e">
        <f>RTD("tickerplantrtdserver",,"FWRC1#GBPINR#Month Wise Rates#0#FwdOutrightAsk15")</f>
        <v>#N/A</v>
      </c>
    </row>
    <row r="515" spans="1:2">
      <c r="A515" s="37" t="e">
        <f>RTD("tickerplantrtdserver",,"FWRC1#GBPINR#Month Wise Rates#0#FwdOutrightBid16")</f>
        <v>#N/A</v>
      </c>
    </row>
    <row r="516" spans="1:2">
      <c r="A516" s="37" t="e">
        <f>RTD("tickerplantrtdserver",,"FWRC1#GBPINR#Month Wise Rates#0#FwdOutrightAsk16")</f>
        <v>#N/A</v>
      </c>
    </row>
    <row r="517" spans="1:2">
      <c r="A517" s="37" t="e">
        <f>RTD("tickerplantrtdserver",,"FWRC1#GBPINR#Month Wise Rates#0#FwdOutrightBid17")</f>
        <v>#N/A</v>
      </c>
    </row>
    <row r="518" spans="1:2">
      <c r="A518" s="37" t="e">
        <f>RTD("tickerplantrtdserver",,"FWRC1#GBPINR#Month Wise Rates#0#FwdOutrightAsk17")</f>
        <v>#N/A</v>
      </c>
    </row>
    <row r="519" spans="1:2">
      <c r="A519" s="38" t="e">
        <f>RTD("tickerplantrtdserver",,"FWRC1#GBPINR#Month Wise Rates#0#FwdOutrightBid18")</f>
        <v>#N/A</v>
      </c>
    </row>
    <row r="520" spans="1:2">
      <c r="A520" s="38" t="e">
        <f>RTD("tickerplantrtdserver",,"FWRC1#GBPINR#Month Wise Rates#0#FwdOutrightAsk18")</f>
        <v>#N/A</v>
      </c>
    </row>
    <row r="521" spans="1:2">
      <c r="A521" s="23" t="e">
        <f>RTD("tickerplantrtdserver",,"FWRC1#JPYINR#Month Wise Rates#0#S#Desc.2")</f>
        <v>#N/A</v>
      </c>
      <c r="B521" s="32" t="s">
        <v>33</v>
      </c>
    </row>
    <row r="522" spans="1:2">
      <c r="A522" s="43" t="e">
        <f>RTD("tickerplantrtdserver",,"FWRC1#JPYINR#Month Wise Rates#0#S#PillarDate2")</f>
        <v>#N/A</v>
      </c>
    </row>
    <row r="523" spans="1:2">
      <c r="A523" s="44" t="e">
        <f>RTD("tickerplantrtdserver",,"FWRC1#JPYINR#Month Wise Rates#0#BidPrice2")</f>
        <v>#N/A</v>
      </c>
    </row>
    <row r="524" spans="1:2">
      <c r="A524" s="44" t="e">
        <f>RTD("tickerplantrtdserver",,"FWRC1#JPYINR#Month Wise Rates#0#AskPrice2")</f>
        <v>#N/A</v>
      </c>
    </row>
    <row r="525" spans="1:2">
      <c r="A525" s="43" t="e">
        <f>RTD("tickerplantrtdserver",,"FWRC1#JPYINR#Month Wise Rates#0#S#Desc.7")</f>
        <v>#N/A</v>
      </c>
    </row>
    <row r="526" spans="1:2">
      <c r="A526" s="43" t="e">
        <f>RTD("tickerplantrtdserver",,"FWRC1#JPYINR#Month Wise Rates#0#S#PillarDate7")</f>
        <v>#N/A</v>
      </c>
    </row>
    <row r="527" spans="1:2">
      <c r="A527" s="44" t="e">
        <f>RTD("tickerplantrtdserver",,"FWRC1#JPYINR#Month Wise Rates#0#BidPrice7")</f>
        <v>#N/A</v>
      </c>
    </row>
    <row r="528" spans="1:2">
      <c r="A528" s="44" t="e">
        <f>RTD("tickerplantrtdserver",,"FWRC1#JPYINR#Month Wise Rates#0#AskPrice7")</f>
        <v>#N/A</v>
      </c>
    </row>
    <row r="529" spans="1:1">
      <c r="A529" s="43" t="e">
        <f>RTD("tickerplantrtdserver",,"FWRC1#JPYINR#Month Wise Rates#0#S#Desc.8")</f>
        <v>#N/A</v>
      </c>
    </row>
    <row r="530" spans="1:1">
      <c r="A530" s="43" t="e">
        <f>RTD("tickerplantrtdserver",,"FWRC1#JPYINR#Month Wise Rates#0#S#PillarDate8")</f>
        <v>#N/A</v>
      </c>
    </row>
    <row r="531" spans="1:1">
      <c r="A531" s="44" t="e">
        <f>RTD("tickerplantrtdserver",,"FWRC1#JPYINR#Month Wise Rates#0#BidPrice8")</f>
        <v>#N/A</v>
      </c>
    </row>
    <row r="532" spans="1:1">
      <c r="A532" s="44" t="e">
        <f>RTD("tickerplantrtdserver",,"FWRC1#JPYINR#Month Wise Rates#0#AskPrice8")</f>
        <v>#N/A</v>
      </c>
    </row>
    <row r="533" spans="1:1">
      <c r="A533" s="43" t="e">
        <f>RTD("tickerplantrtdserver",,"FWRC1#JPYINR#Month Wise Rates#0#S#Desc.9")</f>
        <v>#N/A</v>
      </c>
    </row>
    <row r="534" spans="1:1">
      <c r="A534" s="43" t="e">
        <f>RTD("tickerplantrtdserver",,"FWRC1#JPYINR#Month Wise Rates#0#S#PillarDate9")</f>
        <v>#N/A</v>
      </c>
    </row>
    <row r="535" spans="1:1">
      <c r="A535" s="44" t="e">
        <f>RTD("tickerplantrtdserver",,"FWRC1#JPYINR#Month Wise Rates#0#BidPrice9")</f>
        <v>#N/A</v>
      </c>
    </row>
    <row r="536" spans="1:1">
      <c r="A536" s="44" t="e">
        <f>RTD("tickerplantrtdserver",,"FWRC1#JPYINR#Month Wise Rates#0#AskPrice9")</f>
        <v>#N/A</v>
      </c>
    </row>
    <row r="537" spans="1:1">
      <c r="A537" s="43" t="e">
        <f>RTD("tickerplantrtdserver",,"FWRC1#JPYINR#Month Wise Rates#0#S#Desc.10")</f>
        <v>#N/A</v>
      </c>
    </row>
    <row r="538" spans="1:1">
      <c r="A538" s="43" t="e">
        <f>RTD("tickerplantrtdserver",,"FWRC1#JPYINR#Month Wise Rates#0#S#PillarDate10")</f>
        <v>#N/A</v>
      </c>
    </row>
    <row r="539" spans="1:1">
      <c r="A539" s="44" t="e">
        <f>RTD("tickerplantrtdserver",,"FWRC1#JPYINR#Month Wise Rates#0#BidPrice10")</f>
        <v>#N/A</v>
      </c>
    </row>
    <row r="540" spans="1:1">
      <c r="A540" s="44" t="e">
        <f>RTD("tickerplantrtdserver",,"FWRC1#JPYINR#Month Wise Rates#0#AskPrice10")</f>
        <v>#N/A</v>
      </c>
    </row>
    <row r="541" spans="1:1">
      <c r="A541" s="43" t="e">
        <f>RTD("tickerplantrtdserver",,"FWRC1#JPYINR#Month Wise Rates#0#S#Desc.11")</f>
        <v>#N/A</v>
      </c>
    </row>
    <row r="542" spans="1:1">
      <c r="A542" s="43" t="e">
        <f>RTD("tickerplantrtdserver",,"FWRC1#JPYINR#Month Wise Rates#0#S#PillarDate11")</f>
        <v>#N/A</v>
      </c>
    </row>
    <row r="543" spans="1:1">
      <c r="A543" s="44" t="e">
        <f>RTD("tickerplantrtdserver",,"FWRC1#JPYINR#Month Wise Rates#0#BidPrice11")</f>
        <v>#N/A</v>
      </c>
    </row>
    <row r="544" spans="1:1">
      <c r="A544" s="44" t="e">
        <f>RTD("tickerplantrtdserver",,"FWRC1#JPYINR#Month Wise Rates#0#AskPrice11")</f>
        <v>#N/A</v>
      </c>
    </row>
    <row r="545" spans="1:1">
      <c r="A545" s="43" t="e">
        <f>RTD("tickerplantrtdserver",,"FWRC1#JPYINR#Month Wise Rates#0#S#Desc.12")</f>
        <v>#N/A</v>
      </c>
    </row>
    <row r="546" spans="1:1">
      <c r="A546" s="43" t="e">
        <f>RTD("tickerplantrtdserver",,"FWRC1#JPYINR#Month Wise Rates#0#S#PillarDate12")</f>
        <v>#N/A</v>
      </c>
    </row>
    <row r="547" spans="1:1">
      <c r="A547" s="44" t="e">
        <f>RTD("tickerplantrtdserver",,"FWRC1#JPYINR#Month Wise Rates#0#BidPrice12")</f>
        <v>#N/A</v>
      </c>
    </row>
    <row r="548" spans="1:1">
      <c r="A548" s="44" t="e">
        <f>RTD("tickerplantrtdserver",,"FWRC1#JPYINR#Month Wise Rates#0#AskPrice12")</f>
        <v>#N/A</v>
      </c>
    </row>
    <row r="549" spans="1:1">
      <c r="A549" s="43" t="e">
        <f>RTD("tickerplantrtdserver",,"FWRC1#JPYINR#Month Wise Rates#0#S#Desc.13")</f>
        <v>#N/A</v>
      </c>
    </row>
    <row r="550" spans="1:1">
      <c r="A550" s="43" t="e">
        <f>RTD("tickerplantrtdserver",,"FWRC1#JPYINR#Month Wise Rates#0#S#PillarDate13")</f>
        <v>#N/A</v>
      </c>
    </row>
    <row r="551" spans="1:1">
      <c r="A551" s="44" t="e">
        <f>RTD("tickerplantrtdserver",,"FWRC1#JPYINR#Month Wise Rates#0#BidPrice13")</f>
        <v>#N/A</v>
      </c>
    </row>
    <row r="552" spans="1:1">
      <c r="A552" s="44" t="e">
        <f>RTD("tickerplantrtdserver",,"FWRC1#JPYINR#Month Wise Rates#0#AskPrice13")</f>
        <v>#N/A</v>
      </c>
    </row>
    <row r="553" spans="1:1">
      <c r="A553" s="43" t="e">
        <f>RTD("tickerplantrtdserver",,"FWRC1#JPYINR#Month Wise Rates#0#S#Desc.14")</f>
        <v>#N/A</v>
      </c>
    </row>
    <row r="554" spans="1:1">
      <c r="A554" s="43" t="e">
        <f>RTD("tickerplantrtdserver",,"FWRC1#JPYINR#Month Wise Rates#0#S#PillarDate14")</f>
        <v>#N/A</v>
      </c>
    </row>
    <row r="555" spans="1:1">
      <c r="A555" s="44" t="e">
        <f>RTD("tickerplantrtdserver",,"FWRC1#JPYINR#Month Wise Rates#0#BidPrice14")</f>
        <v>#N/A</v>
      </c>
    </row>
    <row r="556" spans="1:1">
      <c r="A556" s="44" t="e">
        <f>RTD("tickerplantrtdserver",,"FWRC1#JPYINR#Month Wise Rates#0#AskPrice14")</f>
        <v>#N/A</v>
      </c>
    </row>
    <row r="557" spans="1:1">
      <c r="A557" s="43" t="e">
        <f>RTD("tickerplantrtdserver",,"FWRC1#JPYINR#Month Wise Rates#0#S#Desc.15")</f>
        <v>#N/A</v>
      </c>
    </row>
    <row r="558" spans="1:1">
      <c r="A558" s="43" t="e">
        <f>RTD("tickerplantrtdserver",,"FWRC1#JPYINR#Month Wise Rates#0#S#PillarDate15")</f>
        <v>#N/A</v>
      </c>
    </row>
    <row r="559" spans="1:1">
      <c r="A559" s="44" t="e">
        <f>RTD("tickerplantrtdserver",,"FWRC1#JPYINR#Month Wise Rates#0#BidPrice15")</f>
        <v>#N/A</v>
      </c>
    </row>
    <row r="560" spans="1:1">
      <c r="A560" s="44" t="e">
        <f>RTD("tickerplantrtdserver",,"FWRC1#JPYINR#Month Wise Rates#0#AskPrice15")</f>
        <v>#N/A</v>
      </c>
    </row>
    <row r="561" spans="1:2">
      <c r="A561" s="43" t="e">
        <f>RTD("tickerplantrtdserver",,"FWRC1#JPYINR#Month Wise Rates#0#S#Desc.16")</f>
        <v>#N/A</v>
      </c>
    </row>
    <row r="562" spans="1:2">
      <c r="A562" s="43" t="e">
        <f>RTD("tickerplantrtdserver",,"FWRC1#JPYINR#Month Wise Rates#0#S#PillarDate16")</f>
        <v>#N/A</v>
      </c>
    </row>
    <row r="563" spans="1:2">
      <c r="A563" s="44" t="e">
        <f>RTD("tickerplantrtdserver",,"FWRC1#JPYINR#Month Wise Rates#0#BidPrice16")</f>
        <v>#N/A</v>
      </c>
    </row>
    <row r="564" spans="1:2">
      <c r="A564" s="44" t="e">
        <f>RTD("tickerplantrtdserver",,"FWRC1#JPYINR#Month Wise Rates#0#AskPrice16")</f>
        <v>#N/A</v>
      </c>
    </row>
    <row r="565" spans="1:2">
      <c r="A565" s="43" t="e">
        <f>RTD("tickerplantrtdserver",,"FWRC1#JPYINR#Month Wise Rates#0#S#Desc.17")</f>
        <v>#N/A</v>
      </c>
    </row>
    <row r="566" spans="1:2">
      <c r="A566" s="43" t="e">
        <f>RTD("tickerplantrtdserver",,"FWRC1#JPYINR#Month Wise Rates#0#S#PillarDate17")</f>
        <v>#N/A</v>
      </c>
    </row>
    <row r="567" spans="1:2">
      <c r="A567" s="44" t="e">
        <f>RTD("tickerplantrtdserver",,"FWRC1#JPYINR#Month Wise Rates#0#BidPrice17")</f>
        <v>#N/A</v>
      </c>
    </row>
    <row r="568" spans="1:2">
      <c r="A568" s="44" t="e">
        <f>RTD("tickerplantrtdserver",,"FWRC1#JPYINR#Month Wise Rates#0#AskPrice17")</f>
        <v>#N/A</v>
      </c>
    </row>
    <row r="569" spans="1:2">
      <c r="A569" s="45" t="e">
        <f>RTD("tickerplantrtdserver",,"FWRC1#JPYINR#Month Wise Rates#0#S#Desc.18")</f>
        <v>#N/A</v>
      </c>
    </row>
    <row r="570" spans="1:2">
      <c r="A570" s="45" t="e">
        <f>RTD("tickerplantrtdserver",,"FWRC1#JPYINR#Month Wise Rates#0#S#PillarDate18")</f>
        <v>#N/A</v>
      </c>
    </row>
    <row r="571" spans="1:2">
      <c r="A571" s="46" t="e">
        <f>RTD("tickerplantrtdserver",,"FWRC1#JPYINR#Month Wise Rates#0#BidPrice18")</f>
        <v>#N/A</v>
      </c>
    </row>
    <row r="572" spans="1:2" ht="15.75" thickBot="1">
      <c r="A572" s="46" t="e">
        <f>RTD("tickerplantrtdserver",,"FWRC1#JPYINR#Month Wise Rates#0#AskPrice18")</f>
        <v>#N/A</v>
      </c>
    </row>
    <row r="573" spans="1:2" ht="15.75" thickBot="1">
      <c r="A573" s="29" t="e">
        <f>RTD("tickerplantrtdserver",,"17#3#1#5978#JPYINRCOMP#Bid")</f>
        <v>#N/A</v>
      </c>
      <c r="B573" t="s">
        <v>27</v>
      </c>
    </row>
    <row r="574" spans="1:2" ht="15.75" thickBot="1">
      <c r="A574" s="30" t="e">
        <f>RTD("tickerplantrtdserver",,"17#3#1#5978#JPYINRCOMP#Ask")</f>
        <v>#N/A</v>
      </c>
    </row>
    <row r="575" spans="1:2">
      <c r="A575" s="3" t="e">
        <f>RTD("tickerplantrtdserver",,"FWRC1#JPYINR#Month Wise Rates#0#S#PillarDate0")</f>
        <v>#N/A</v>
      </c>
      <c r="B575" t="s">
        <v>31</v>
      </c>
    </row>
    <row r="576" spans="1:2">
      <c r="A576" s="37" t="e">
        <f>RTD("tickerplantrtdserver",,"FWRC1#JPYINR#Month Wise Rates#0#FwdOutrightBid7")</f>
        <v>#N/A</v>
      </c>
      <c r="B576" s="31" t="s">
        <v>34</v>
      </c>
    </row>
    <row r="577" spans="1:1">
      <c r="A577" s="37" t="e">
        <f>RTD("tickerplantrtdserver",,"FWRC1#JPYINR#Month Wise Rates#0#FwdOutrightAsk7")</f>
        <v>#N/A</v>
      </c>
    </row>
    <row r="578" spans="1:1">
      <c r="A578" s="37" t="e">
        <f>RTD("tickerplantrtdserver",,"FWRC1#JPYINR#Month Wise Rates#0#FwdOutrightBid8")</f>
        <v>#N/A</v>
      </c>
    </row>
    <row r="579" spans="1:1">
      <c r="A579" s="37" t="e">
        <f>RTD("tickerplantrtdserver",,"FWRC1#JPYINR#Month Wise Rates#0#FwdOutrightAsk8")</f>
        <v>#N/A</v>
      </c>
    </row>
    <row r="580" spans="1:1">
      <c r="A580" s="37" t="e">
        <f>RTD("tickerplantrtdserver",,"FWRC1#JPYINR#Month Wise Rates#0#FwdOutrightBid9")</f>
        <v>#N/A</v>
      </c>
    </row>
    <row r="581" spans="1:1">
      <c r="A581" s="37" t="e">
        <f>RTD("tickerplantrtdserver",,"FWRC1#JPYINR#Month Wise Rates#0#FwdOutrightAsk9")</f>
        <v>#N/A</v>
      </c>
    </row>
    <row r="582" spans="1:1">
      <c r="A582" s="37" t="e">
        <f>RTD("tickerplantrtdserver",,"FWRC1#JPYINR#Month Wise Rates#0#FwdOutrightBid10")</f>
        <v>#N/A</v>
      </c>
    </row>
    <row r="583" spans="1:1">
      <c r="A583" s="37" t="e">
        <f>RTD("tickerplantrtdserver",,"FWRC1#JPYINR#Month Wise Rates#0#FwdOutrightAsk10")</f>
        <v>#N/A</v>
      </c>
    </row>
    <row r="584" spans="1:1">
      <c r="A584" s="37" t="e">
        <f>RTD("tickerplantrtdserver",,"FWRC1#JPYINR#Month Wise Rates#0#FwdOutrightBid11")</f>
        <v>#N/A</v>
      </c>
    </row>
    <row r="585" spans="1:1">
      <c r="A585" s="37" t="e">
        <f>RTD("tickerplantrtdserver",,"FWRC1#JPYINR#Month Wise Rates#0#FwdOutrightAsk11")</f>
        <v>#N/A</v>
      </c>
    </row>
    <row r="586" spans="1:1">
      <c r="A586" s="37" t="e">
        <f>RTD("tickerplantrtdserver",,"FWRC1#JPYINR#Month Wise Rates#0#FwdOutrightBid12")</f>
        <v>#N/A</v>
      </c>
    </row>
    <row r="587" spans="1:1">
      <c r="A587" s="37" t="e">
        <f>RTD("tickerplantrtdserver",,"FWRC1#JPYINR#Month Wise Rates#0#FwdOutrightAsk12")</f>
        <v>#N/A</v>
      </c>
    </row>
    <row r="588" spans="1:1">
      <c r="A588" s="37" t="e">
        <f>RTD("tickerplantrtdserver",,"FWRC1#JPYINR#Month Wise Rates#0#FwdOutrightBid13")</f>
        <v>#N/A</v>
      </c>
    </row>
    <row r="589" spans="1:1">
      <c r="A589" s="37" t="e">
        <f>RTD("tickerplantrtdserver",,"FWRC1#JPYINR#Month Wise Rates#0#FwdOutrightAsk13")</f>
        <v>#N/A</v>
      </c>
    </row>
    <row r="590" spans="1:1">
      <c r="A590" s="37" t="e">
        <f>RTD("tickerplantrtdserver",,"FWRC1#JPYINR#Month Wise Rates#0#FwdOutrightBid14")</f>
        <v>#N/A</v>
      </c>
    </row>
    <row r="591" spans="1:1">
      <c r="A591" s="37" t="e">
        <f>RTD("tickerplantrtdserver",,"FWRC1#JPYINR#Month Wise Rates#0#FwdOutrightAsk14")</f>
        <v>#N/A</v>
      </c>
    </row>
    <row r="592" spans="1:1">
      <c r="A592" s="37" t="e">
        <f>RTD("tickerplantrtdserver",,"FWRC1#JPYINR#Month Wise Rates#0#FwdOutrightBid15")</f>
        <v>#N/A</v>
      </c>
    </row>
    <row r="593" spans="1:2">
      <c r="A593" s="37" t="e">
        <f>RTD("tickerplantrtdserver",,"FWRC1#JPYINR#Month Wise Rates#0#FwdOutrightAsk15")</f>
        <v>#N/A</v>
      </c>
    </row>
    <row r="594" spans="1:2">
      <c r="A594" s="37" t="e">
        <f>RTD("tickerplantrtdserver",,"FWRC1#JPYINR#Month Wise Rates#0#FwdOutrightBid16")</f>
        <v>#N/A</v>
      </c>
    </row>
    <row r="595" spans="1:2">
      <c r="A595" s="37" t="e">
        <f>RTD("tickerplantrtdserver",,"FWRC1#JPYINR#Month Wise Rates#0#FwdOutrightAsk16")</f>
        <v>#N/A</v>
      </c>
    </row>
    <row r="596" spans="1:2">
      <c r="A596" s="37" t="e">
        <f>RTD("tickerplantrtdserver",,"FWRC1#JPYINR#Month Wise Rates#0#FwdOutrightBid17")</f>
        <v>#N/A</v>
      </c>
    </row>
    <row r="597" spans="1:2">
      <c r="A597" s="37" t="e">
        <f>RTD("tickerplantrtdserver",,"FWRC1#JPYINR#Month Wise Rates#0#FwdOutrightAsk17")</f>
        <v>#N/A</v>
      </c>
    </row>
    <row r="598" spans="1:2">
      <c r="A598" s="38" t="e">
        <f>RTD("tickerplantrtdserver",,"FWRC1#JPYINR#Month Wise Rates#0#FwdOutrightBid18")</f>
        <v>#N/A</v>
      </c>
    </row>
    <row r="599" spans="1:2">
      <c r="A599" s="38" t="e">
        <f>RTD("tickerplantrtdserver",,"FWRC1#JPYINR#Month Wise Rates#0#FwdOutrightAsk18")</f>
        <v>#N/A</v>
      </c>
    </row>
    <row r="600" spans="1:2">
      <c r="A600" s="39" t="e">
        <f>RTD("tickerplantrtdserver",,"FWRC1#EURUSD#Month Wise Rates#0#S#Desc.2")</f>
        <v>#N/A</v>
      </c>
      <c r="B600" s="32" t="s">
        <v>35</v>
      </c>
    </row>
    <row r="601" spans="1:2">
      <c r="A601" s="39" t="e">
        <f>RTD("tickerplantrtdserver",,"FWRC1#EURUSD#Month Wise Rates#0#S#PillarDate2")</f>
        <v>#N/A</v>
      </c>
    </row>
    <row r="602" spans="1:2">
      <c r="A602" s="39" t="e">
        <f>RTD("tickerplantrtdserver",,"FWRC1#EURUSD#Month Wise Rates#0#BidPrice2")</f>
        <v>#N/A</v>
      </c>
    </row>
    <row r="603" spans="1:2">
      <c r="A603" s="39" t="e">
        <f>RTD("tickerplantrtdserver",,"FWRC1#EURUSD#Month Wise Rates#0#AskPrice2")</f>
        <v>#N/A</v>
      </c>
    </row>
    <row r="604" spans="1:2">
      <c r="A604" s="39" t="e">
        <f>RTD("tickerplantrtdserver",,"FWRC1#EURUSD#Month Wise Rates#0#S#Desc.7")</f>
        <v>#N/A</v>
      </c>
    </row>
    <row r="605" spans="1:2">
      <c r="A605" s="39" t="e">
        <f>RTD("tickerplantrtdserver",,"FWRC1#EURUSD#Month Wise Rates#0#S#PillarDate7")</f>
        <v>#N/A</v>
      </c>
    </row>
    <row r="606" spans="1:2">
      <c r="A606" s="39" t="e">
        <f>RTD("tickerplantrtdserver",,"FWRC1#EURUSD#Month Wise Rates#0#BidPrice7")</f>
        <v>#N/A</v>
      </c>
    </row>
    <row r="607" spans="1:2">
      <c r="A607" s="39" t="e">
        <f>RTD("tickerplantrtdserver",,"FWRC1#EURUSD#Month Wise Rates#0#AskPrice7")</f>
        <v>#N/A</v>
      </c>
    </row>
    <row r="608" spans="1:2">
      <c r="A608" s="39" t="e">
        <f>RTD("tickerplantrtdserver",,"FWRC1#EURUSD#Month Wise Rates#0#S#Desc.8")</f>
        <v>#N/A</v>
      </c>
    </row>
    <row r="609" spans="1:1">
      <c r="A609" s="39" t="e">
        <f>RTD("tickerplantrtdserver",,"FWRC1#EURUSD#Month Wise Rates#0#S#PillarDate8")</f>
        <v>#N/A</v>
      </c>
    </row>
    <row r="610" spans="1:1">
      <c r="A610" s="39" t="e">
        <f>RTD("tickerplantrtdserver",,"FWRC1#EURUSD#Month Wise Rates#0#BidPrice8")</f>
        <v>#N/A</v>
      </c>
    </row>
    <row r="611" spans="1:1">
      <c r="A611" s="39" t="e">
        <f>RTD("tickerplantrtdserver",,"FWRC1#EURUSD#Month Wise Rates#0#AskPrice8")</f>
        <v>#N/A</v>
      </c>
    </row>
    <row r="612" spans="1:1">
      <c r="A612" s="39" t="e">
        <f>RTD("tickerplantrtdserver",,"FWRC1#EURUSD#Month Wise Rates#0#S#Desc.9")</f>
        <v>#N/A</v>
      </c>
    </row>
    <row r="613" spans="1:1">
      <c r="A613" s="39" t="e">
        <f>RTD("tickerplantrtdserver",,"FWRC1#EURUSD#Month Wise Rates#0#S#PillarDate9")</f>
        <v>#N/A</v>
      </c>
    </row>
    <row r="614" spans="1:1">
      <c r="A614" s="39" t="e">
        <f>RTD("tickerplantrtdserver",,"FWRC1#EURUSD#Month Wise Rates#0#BidPrice9")</f>
        <v>#N/A</v>
      </c>
    </row>
    <row r="615" spans="1:1">
      <c r="A615" s="39" t="e">
        <f>RTD("tickerplantrtdserver",,"FWRC1#EURUSD#Month Wise Rates#0#AskPrice9")</f>
        <v>#N/A</v>
      </c>
    </row>
    <row r="616" spans="1:1">
      <c r="A616" s="39" t="e">
        <f>RTD("tickerplantrtdserver",,"FWRC1#EURUSD#Month Wise Rates#0#S#Desc.10")</f>
        <v>#N/A</v>
      </c>
    </row>
    <row r="617" spans="1:1">
      <c r="A617" s="39" t="e">
        <f>RTD("tickerplantrtdserver",,"FWRC1#EURUSD#Month Wise Rates#0#S#PillarDate10")</f>
        <v>#N/A</v>
      </c>
    </row>
    <row r="618" spans="1:1">
      <c r="A618" s="39" t="e">
        <f>RTD("tickerplantrtdserver",,"FWRC1#EURUSD#Month Wise Rates#0#BidPrice10")</f>
        <v>#N/A</v>
      </c>
    </row>
    <row r="619" spans="1:1">
      <c r="A619" s="39" t="e">
        <f>RTD("tickerplantrtdserver",,"FWRC1#EURUSD#Month Wise Rates#0#AskPrice10")</f>
        <v>#N/A</v>
      </c>
    </row>
    <row r="620" spans="1:1">
      <c r="A620" s="39" t="e">
        <f>RTD("tickerplantrtdserver",,"FWRC1#EURUSD#Month Wise Rates#0#S#Desc.11")</f>
        <v>#N/A</v>
      </c>
    </row>
    <row r="621" spans="1:1">
      <c r="A621" s="39" t="e">
        <f>RTD("tickerplantrtdserver",,"FWRC1#EURUSD#Month Wise Rates#0#S#PillarDate11")</f>
        <v>#N/A</v>
      </c>
    </row>
    <row r="622" spans="1:1">
      <c r="A622" s="39" t="e">
        <f>RTD("tickerplantrtdserver",,"FWRC1#EURUSD#Month Wise Rates#0#BidPrice11")</f>
        <v>#N/A</v>
      </c>
    </row>
    <row r="623" spans="1:1">
      <c r="A623" s="39" t="e">
        <f>RTD("tickerplantrtdserver",,"FWRC1#EURUSD#Month Wise Rates#0#AskPrice11")</f>
        <v>#N/A</v>
      </c>
    </row>
    <row r="624" spans="1:1">
      <c r="A624" s="39" t="e">
        <f>RTD("tickerplantrtdserver",,"FWRC1#EURUSD#Month Wise Rates#0#S#Desc.12")</f>
        <v>#N/A</v>
      </c>
    </row>
    <row r="625" spans="1:1">
      <c r="A625" s="39" t="e">
        <f>RTD("tickerplantrtdserver",,"FWRC1#EURUSD#Month Wise Rates#0#S#PillarDate12")</f>
        <v>#N/A</v>
      </c>
    </row>
    <row r="626" spans="1:1">
      <c r="A626" s="39" t="e">
        <f>RTD("tickerplantrtdserver",,"FWRC1#EURUSD#Month Wise Rates#0#BidPrice12")</f>
        <v>#N/A</v>
      </c>
    </row>
    <row r="627" spans="1:1">
      <c r="A627" s="39" t="e">
        <f>RTD("tickerplantrtdserver",,"FWRC1#EURUSD#Month Wise Rates#0#AskPrice12")</f>
        <v>#N/A</v>
      </c>
    </row>
    <row r="628" spans="1:1">
      <c r="A628" s="39" t="e">
        <f>RTD("tickerplantrtdserver",,"FWRC1#EURUSD#Month Wise Rates#0#S#Desc.13")</f>
        <v>#N/A</v>
      </c>
    </row>
    <row r="629" spans="1:1">
      <c r="A629" s="39" t="e">
        <f>RTD("tickerplantrtdserver",,"FWRC1#EURUSD#Month Wise Rates#0#S#PillarDate13")</f>
        <v>#N/A</v>
      </c>
    </row>
    <row r="630" spans="1:1">
      <c r="A630" s="39" t="e">
        <f>RTD("tickerplantrtdserver",,"FWRC1#EURUSD#Month Wise Rates#0#BidPrice13")</f>
        <v>#N/A</v>
      </c>
    </row>
    <row r="631" spans="1:1">
      <c r="A631" s="39" t="e">
        <f>RTD("tickerplantrtdserver",,"FWRC1#EURUSD#Month Wise Rates#0#AskPrice13")</f>
        <v>#N/A</v>
      </c>
    </row>
    <row r="632" spans="1:1">
      <c r="A632" s="39" t="e">
        <f>RTD("tickerplantrtdserver",,"FWRC1#EURUSD#Month Wise Rates#0#S#Desc.14")</f>
        <v>#N/A</v>
      </c>
    </row>
    <row r="633" spans="1:1">
      <c r="A633" s="39" t="e">
        <f>RTD("tickerplantrtdserver",,"FWRC1#EURUSD#Month Wise Rates#0#S#PillarDate14")</f>
        <v>#N/A</v>
      </c>
    </row>
    <row r="634" spans="1:1">
      <c r="A634" s="39" t="e">
        <f>RTD("tickerplantrtdserver",,"FWRC1#EURUSD#Month Wise Rates#0#BidPrice14")</f>
        <v>#N/A</v>
      </c>
    </row>
    <row r="635" spans="1:1">
      <c r="A635" s="39" t="e">
        <f>RTD("tickerplantrtdserver",,"FWRC1#EURUSD#Month Wise Rates#0#AskPrice14")</f>
        <v>#N/A</v>
      </c>
    </row>
    <row r="636" spans="1:1">
      <c r="A636" s="39" t="e">
        <f>RTD("tickerplantrtdserver",,"FWRC1#EURUSD#Month Wise Rates#0#S#Desc.15")</f>
        <v>#N/A</v>
      </c>
    </row>
    <row r="637" spans="1:1">
      <c r="A637" s="39" t="e">
        <f>RTD("tickerplantrtdserver",,"FWRC1#EURUSD#Month Wise Rates#0#S#PillarDate15")</f>
        <v>#N/A</v>
      </c>
    </row>
    <row r="638" spans="1:1">
      <c r="A638" s="39" t="e">
        <f>RTD("tickerplantrtdserver",,"FWRC1#EURUSD#Month Wise Rates#0#BidPrice15")</f>
        <v>#N/A</v>
      </c>
    </row>
    <row r="639" spans="1:1">
      <c r="A639" s="39" t="e">
        <f>RTD("tickerplantrtdserver",,"FWRC1#EURUSD#Month Wise Rates#0#AskPrice15")</f>
        <v>#N/A</v>
      </c>
    </row>
    <row r="640" spans="1:1">
      <c r="A640" s="39" t="e">
        <f>RTD("tickerplantrtdserver",,"FWRC1#EURUSD#Month Wise Rates#0#S#Desc.16")</f>
        <v>#N/A</v>
      </c>
    </row>
    <row r="641" spans="1:2">
      <c r="A641" s="39" t="e">
        <f>RTD("tickerplantrtdserver",,"FWRC1#EURUSD#Month Wise Rates#0#S#PillarDate16")</f>
        <v>#N/A</v>
      </c>
    </row>
    <row r="642" spans="1:2">
      <c r="A642" s="39" t="e">
        <f>RTD("tickerplantrtdserver",,"FWRC1#EURUSD#Month Wise Rates#0#BidPrice16")</f>
        <v>#N/A</v>
      </c>
    </row>
    <row r="643" spans="1:2">
      <c r="A643" s="39" t="e">
        <f>RTD("tickerplantrtdserver",,"FWRC1#EURUSD#Month Wise Rates#0#AskPrice16")</f>
        <v>#N/A</v>
      </c>
    </row>
    <row r="644" spans="1:2">
      <c r="A644" s="39" t="e">
        <f>RTD("tickerplantrtdserver",,"FWRC1#EURUSD#Month Wise Rates#0#S#Desc.17")</f>
        <v>#N/A</v>
      </c>
    </row>
    <row r="645" spans="1:2">
      <c r="A645" s="39" t="e">
        <f>RTD("tickerplantrtdserver",,"FWRC1#EURUSD#Month Wise Rates#0#S#PillarDate17")</f>
        <v>#N/A</v>
      </c>
    </row>
    <row r="646" spans="1:2">
      <c r="A646" s="39" t="e">
        <f>RTD("tickerplantrtdserver",,"FWRC1#EURUSD#Month Wise Rates#0#BidPrice17")</f>
        <v>#N/A</v>
      </c>
    </row>
    <row r="647" spans="1:2">
      <c r="A647" s="39" t="e">
        <f>RTD("tickerplantrtdserver",,"FWRC1#EURUSD#Month Wise Rates#0#AskPrice17")</f>
        <v>#N/A</v>
      </c>
    </row>
    <row r="648" spans="1:2">
      <c r="A648" s="40" t="e">
        <f>RTD("tickerplantrtdserver",,"FWRC1#EURUSD#Month Wise Rates#0#S#Desc.18")</f>
        <v>#N/A</v>
      </c>
    </row>
    <row r="649" spans="1:2">
      <c r="A649" s="40" t="e">
        <f>RTD("tickerplantrtdserver",,"FWRC1#EURUSD#Month Wise Rates#0#S#PillarDate18")</f>
        <v>#N/A</v>
      </c>
    </row>
    <row r="650" spans="1:2">
      <c r="A650" s="40" t="e">
        <f>RTD("tickerplantrtdserver",,"FWRC1#EURUSD#Month Wise Rates#0#BidPrice18")</f>
        <v>#N/A</v>
      </c>
    </row>
    <row r="651" spans="1:2" ht="15.75" thickBot="1">
      <c r="A651" s="40" t="e">
        <f>RTD("tickerplantrtdserver",,"FWRC1#EURUSD#Month Wise Rates#0#AskPrice18")</f>
        <v>#N/A</v>
      </c>
    </row>
    <row r="652" spans="1:2" ht="15.75" thickBot="1">
      <c r="A652" s="29" t="e">
        <f>RTD("tickerplantrtdserver",,"FWRC1#EURUSD#Month Wise Rates#0#BidPrice0")</f>
        <v>#N/A</v>
      </c>
      <c r="B652" t="s">
        <v>27</v>
      </c>
    </row>
    <row r="653" spans="1:2" ht="15.75" thickBot="1">
      <c r="A653" s="30" t="e">
        <f>RTD("tickerplantrtdserver",,"FWRC1#EURUSD#Month Wise Rates#0#AskPrice0")</f>
        <v>#N/A</v>
      </c>
    </row>
    <row r="654" spans="1:2">
      <c r="A654" s="3" t="e">
        <f>RTD("tickerplantrtdserver",,"FWRC1#EURUSD#Month Wise Rates#0#S#PillarDate0")</f>
        <v>#N/A</v>
      </c>
      <c r="B654" t="s">
        <v>28</v>
      </c>
    </row>
    <row r="655" spans="1:2">
      <c r="A655" s="39" t="e">
        <f>RTD("tickerplantrtdserver",,"FWRC1#EURUSD#Month Wise Rates#0#FwdOutrightBid2")</f>
        <v>#N/A</v>
      </c>
      <c r="B655" s="31" t="s">
        <v>36</v>
      </c>
    </row>
    <row r="656" spans="1:2">
      <c r="A656" s="39" t="e">
        <f>RTD("tickerplantrtdserver",,"FWRC1#EURUSD#Month Wise Rates#0#FwdOutrightAsk2")</f>
        <v>#N/A</v>
      </c>
    </row>
    <row r="657" spans="1:1">
      <c r="A657" s="39" t="e">
        <f>RTD("tickerplantrtdserver",,"FWRC1#EURUSD#Month Wise Rates#0#FwdOutrightBid7")</f>
        <v>#N/A</v>
      </c>
    </row>
    <row r="658" spans="1:1">
      <c r="A658" s="39" t="e">
        <f>RTD("tickerplantrtdserver",,"FWRC1#EURUSD#Month Wise Rates#0#FwdOutrightAsk7")</f>
        <v>#N/A</v>
      </c>
    </row>
    <row r="659" spans="1:1">
      <c r="A659" s="39" t="e">
        <f>RTD("tickerplantrtdserver",,"FWRC1#EURUSD#Month Wise Rates#0#FwdOutrightBid8")</f>
        <v>#N/A</v>
      </c>
    </row>
    <row r="660" spans="1:1">
      <c r="A660" s="39" t="e">
        <f>RTD("tickerplantrtdserver",,"FWRC1#EURUSD#Month Wise Rates#0#FwdOutrightAsk8")</f>
        <v>#N/A</v>
      </c>
    </row>
    <row r="661" spans="1:1">
      <c r="A661" s="39" t="e">
        <f>RTD("tickerplantrtdserver",,"FWRC1#EURUSD#Month Wise Rates#0#FwdOutrightBid9")</f>
        <v>#N/A</v>
      </c>
    </row>
    <row r="662" spans="1:1">
      <c r="A662" s="39" t="e">
        <f>RTD("tickerplantrtdserver",,"FWRC1#EURUSD#Month Wise Rates#0#FwdOutrightAsk9")</f>
        <v>#N/A</v>
      </c>
    </row>
    <row r="663" spans="1:1">
      <c r="A663" s="39" t="e">
        <f>RTD("tickerplantrtdserver",,"FWRC1#EURUSD#Month Wise Rates#0#FwdOutrightBid10")</f>
        <v>#N/A</v>
      </c>
    </row>
    <row r="664" spans="1:1">
      <c r="A664" s="39" t="e">
        <f>RTD("tickerplantrtdserver",,"FWRC1#EURUSD#Month Wise Rates#0#FwdOutrightAsk10")</f>
        <v>#N/A</v>
      </c>
    </row>
    <row r="665" spans="1:1">
      <c r="A665" s="39" t="e">
        <f>RTD("tickerplantrtdserver",,"FWRC1#EURUSD#Month Wise Rates#0#FwdOutrightBid11")</f>
        <v>#N/A</v>
      </c>
    </row>
    <row r="666" spans="1:1">
      <c r="A666" s="39" t="e">
        <f>RTD("tickerplantrtdserver",,"FWRC1#EURUSD#Month Wise Rates#0#FwdOutrightAsk11")</f>
        <v>#N/A</v>
      </c>
    </row>
    <row r="667" spans="1:1">
      <c r="A667" s="39" t="e">
        <f>RTD("tickerplantrtdserver",,"FWRC1#EURUSD#Month Wise Rates#0#FwdOutrightBid12")</f>
        <v>#N/A</v>
      </c>
    </row>
    <row r="668" spans="1:1">
      <c r="A668" s="39" t="e">
        <f>RTD("tickerplantrtdserver",,"FWRC1#EURUSD#Month Wise Rates#0#FwdOutrightAsk12")</f>
        <v>#N/A</v>
      </c>
    </row>
    <row r="669" spans="1:1">
      <c r="A669" s="39" t="e">
        <f>RTD("tickerplantrtdserver",,"FWRC1#EURUSD#Month Wise Rates#0#FwdOutrightBid13")</f>
        <v>#N/A</v>
      </c>
    </row>
    <row r="670" spans="1:1">
      <c r="A670" s="39" t="e">
        <f>RTD("tickerplantrtdserver",,"FWRC1#EURUSD#Month Wise Rates#0#FwdOutrightAsk13")</f>
        <v>#N/A</v>
      </c>
    </row>
    <row r="671" spans="1:1">
      <c r="A671" s="39" t="e">
        <f>RTD("tickerplantrtdserver",,"FWRC1#EURUSD#Month Wise Rates#0#FwdOutrightBid14")</f>
        <v>#N/A</v>
      </c>
    </row>
    <row r="672" spans="1:1">
      <c r="A672" s="39" t="e">
        <f>RTD("tickerplantrtdserver",,"FWRC1#EURUSD#Month Wise Rates#0#FwdOutrightAsk14")</f>
        <v>#N/A</v>
      </c>
    </row>
    <row r="673" spans="1:2">
      <c r="A673" s="39" t="e">
        <f>RTD("tickerplantrtdserver",,"FWRC1#EURUSD#Month Wise Rates#0#FwdOutrightBid15")</f>
        <v>#N/A</v>
      </c>
    </row>
    <row r="674" spans="1:2">
      <c r="A674" s="39" t="e">
        <f>RTD("tickerplantrtdserver",,"FWRC1#EURUSD#Month Wise Rates#0#FwdOutrightAsk15")</f>
        <v>#N/A</v>
      </c>
    </row>
    <row r="675" spans="1:2">
      <c r="A675" s="39" t="e">
        <f>RTD("tickerplantrtdserver",,"FWRC1#EURUSD#Month Wise Rates#0#FwdOutrightBid16")</f>
        <v>#N/A</v>
      </c>
    </row>
    <row r="676" spans="1:2">
      <c r="A676" s="39" t="e">
        <f>RTD("tickerplantrtdserver",,"FWRC1#EURUSD#Month Wise Rates#0#FwdOutrightAsk16")</f>
        <v>#N/A</v>
      </c>
    </row>
    <row r="677" spans="1:2">
      <c r="A677" s="39" t="e">
        <f>RTD("tickerplantrtdserver",,"FWRC1#EURUSD#Month Wise Rates#0#FwdOutrightBid17")</f>
        <v>#N/A</v>
      </c>
    </row>
    <row r="678" spans="1:2">
      <c r="A678" s="39" t="e">
        <f>RTD("tickerplantrtdserver",,"FWRC1#EURUSD#Month Wise Rates#0#FwdOutrightAsk17")</f>
        <v>#N/A</v>
      </c>
    </row>
    <row r="679" spans="1:2">
      <c r="A679" s="40" t="e">
        <f>RTD("tickerplantrtdserver",,"FWRC1#EURUSD#Month Wise Rates#0#FwdOutrightBid18")</f>
        <v>#N/A</v>
      </c>
    </row>
    <row r="680" spans="1:2">
      <c r="A680" s="40" t="e">
        <f>RTD("tickerplantrtdserver",,"FWRC1#EURUSD#Month Wise Rates#0#FwdOutrightAsk18")</f>
        <v>#N/A</v>
      </c>
    </row>
    <row r="681" spans="1:2">
      <c r="A681" s="39" t="e">
        <f>RTD("tickerplantrtdserver",,"FWRC1#GBPUSD#Month Wise Rates#0#S#Desc.2")</f>
        <v>#N/A</v>
      </c>
      <c r="B681" s="32" t="s">
        <v>37</v>
      </c>
    </row>
    <row r="682" spans="1:2">
      <c r="A682" s="47" t="e">
        <f>RTD("tickerplantrtdserver",,"FWRC1#GBPUSD#Month Wise Rates#0#S#PillarDate2")</f>
        <v>#N/A</v>
      </c>
    </row>
    <row r="683" spans="1:2">
      <c r="A683" s="47" t="e">
        <f>RTD("tickerplantrtdserver",,"FWRC1#GBPUSD#Month Wise Rates#0#BidPrice2")</f>
        <v>#N/A</v>
      </c>
    </row>
    <row r="684" spans="1:2">
      <c r="A684" s="48" t="e">
        <f>RTD("tickerplantrtdserver",,"FWRC1#GBPUSD#Month Wise Rates#0#AskPrice2")</f>
        <v>#N/A</v>
      </c>
    </row>
    <row r="685" spans="1:2">
      <c r="A685" s="47" t="e">
        <f>RTD("tickerplantrtdserver",,"FWRC1#GBPUSD#Month Wise Rates#0#S#Desc.7")</f>
        <v>#N/A</v>
      </c>
    </row>
    <row r="686" spans="1:2">
      <c r="A686" s="47" t="e">
        <f>RTD("tickerplantrtdserver",,"FWRC1#GBPUSD#Month Wise Rates#0#S#PillarDate7")</f>
        <v>#N/A</v>
      </c>
    </row>
    <row r="687" spans="1:2">
      <c r="A687" s="47" t="e">
        <f>RTD("tickerplantrtdserver",,"FWRC1#GBPUSD#Month Wise Rates#0#BidPrice7")</f>
        <v>#N/A</v>
      </c>
    </row>
    <row r="688" spans="1:2">
      <c r="A688" s="47" t="e">
        <f>RTD("tickerplantrtdserver",,"FWRC1#GBPUSD#Month Wise Rates#0#AskPrice7")</f>
        <v>#N/A</v>
      </c>
    </row>
    <row r="689" spans="1:1">
      <c r="A689" s="47" t="e">
        <f>RTD("tickerplantrtdserver",,"FWRC1#GBPUSD#Month Wise Rates#0#S#Desc.8")</f>
        <v>#N/A</v>
      </c>
    </row>
    <row r="690" spans="1:1">
      <c r="A690" s="47" t="e">
        <f>RTD("tickerplantrtdserver",,"FWRC1#GBPUSD#Month Wise Rates#0#S#PillarDate8")</f>
        <v>#N/A</v>
      </c>
    </row>
    <row r="691" spans="1:1">
      <c r="A691" s="47" t="e">
        <f>RTD("tickerplantrtdserver",,"FWRC1#GBPUSD#Month Wise Rates#0#BidPrice8")</f>
        <v>#N/A</v>
      </c>
    </row>
    <row r="692" spans="1:1">
      <c r="A692" s="47" t="e">
        <f>RTD("tickerplantrtdserver",,"FWRC1#GBPUSD#Month Wise Rates#0#AskPrice8")</f>
        <v>#N/A</v>
      </c>
    </row>
    <row r="693" spans="1:1">
      <c r="A693" s="47" t="e">
        <f>RTD("tickerplantrtdserver",,"FWRC1#GBPUSD#Month Wise Rates#0#S#Desc.9")</f>
        <v>#N/A</v>
      </c>
    </row>
    <row r="694" spans="1:1">
      <c r="A694" s="47" t="e">
        <f>RTD("tickerplantrtdserver",,"FWRC1#GBPUSD#Month Wise Rates#0#S#PillarDate9")</f>
        <v>#N/A</v>
      </c>
    </row>
    <row r="695" spans="1:1">
      <c r="A695" s="47" t="e">
        <f>RTD("tickerplantrtdserver",,"FWRC1#GBPUSD#Month Wise Rates#0#BidPrice9")</f>
        <v>#N/A</v>
      </c>
    </row>
    <row r="696" spans="1:1">
      <c r="A696" s="47" t="e">
        <f>RTD("tickerplantrtdserver",,"FWRC1#GBPUSD#Month Wise Rates#0#AskPrice9")</f>
        <v>#N/A</v>
      </c>
    </row>
    <row r="697" spans="1:1">
      <c r="A697" s="47" t="e">
        <f>RTD("tickerplantrtdserver",,"FWRC1#GBPUSD#Month Wise Rates#0#S#Desc.10")</f>
        <v>#N/A</v>
      </c>
    </row>
    <row r="698" spans="1:1">
      <c r="A698" s="47" t="e">
        <f>RTD("tickerplantrtdserver",,"FWRC1#GBPUSD#Month Wise Rates#0#S#PillarDate10")</f>
        <v>#N/A</v>
      </c>
    </row>
    <row r="699" spans="1:1">
      <c r="A699" s="47" t="e">
        <f>RTD("tickerplantrtdserver",,"FWRC1#GBPUSD#Month Wise Rates#0#BidPrice10")</f>
        <v>#N/A</v>
      </c>
    </row>
    <row r="700" spans="1:1">
      <c r="A700" s="47" t="e">
        <f>RTD("tickerplantrtdserver",,"FWRC1#GBPUSD#Month Wise Rates#0#AskPrice10")</f>
        <v>#N/A</v>
      </c>
    </row>
    <row r="701" spans="1:1">
      <c r="A701" s="47" t="e">
        <f>RTD("tickerplantrtdserver",,"FWRC1#GBPUSD#Month Wise Rates#0#S#Desc.11")</f>
        <v>#N/A</v>
      </c>
    </row>
    <row r="702" spans="1:1">
      <c r="A702" s="47" t="e">
        <f>RTD("tickerplantrtdserver",,"FWRC1#GBPUSD#Month Wise Rates#0#S#PillarDate11")</f>
        <v>#N/A</v>
      </c>
    </row>
    <row r="703" spans="1:1">
      <c r="A703" s="47" t="e">
        <f>RTD("tickerplantrtdserver",,"FWRC1#GBPUSD#Month Wise Rates#0#BidPrice11")</f>
        <v>#N/A</v>
      </c>
    </row>
    <row r="704" spans="1:1">
      <c r="A704" s="47" t="e">
        <f>RTD("tickerplantrtdserver",,"FWRC1#GBPUSD#Month Wise Rates#0#AskPrice11")</f>
        <v>#N/A</v>
      </c>
    </row>
    <row r="705" spans="1:1">
      <c r="A705" s="47" t="e">
        <f>RTD("tickerplantrtdserver",,"FWRC1#GBPUSD#Month Wise Rates#0#S#Desc.12")</f>
        <v>#N/A</v>
      </c>
    </row>
    <row r="706" spans="1:1">
      <c r="A706" s="47" t="e">
        <f>RTD("tickerplantrtdserver",,"FWRC1#GBPUSD#Month Wise Rates#0#S#PillarDate12")</f>
        <v>#N/A</v>
      </c>
    </row>
    <row r="707" spans="1:1">
      <c r="A707" s="47" t="e">
        <f>RTD("tickerplantrtdserver",,"FWRC1#GBPUSD#Month Wise Rates#0#BidPrice12")</f>
        <v>#N/A</v>
      </c>
    </row>
    <row r="708" spans="1:1">
      <c r="A708" s="47" t="e">
        <f>RTD("tickerplantrtdserver",,"FWRC1#GBPUSD#Month Wise Rates#0#AskPrice12")</f>
        <v>#N/A</v>
      </c>
    </row>
    <row r="709" spans="1:1">
      <c r="A709" s="47" t="e">
        <f>RTD("tickerplantrtdserver",,"FWRC1#GBPUSD#Month Wise Rates#0#S#Desc.13")</f>
        <v>#N/A</v>
      </c>
    </row>
    <row r="710" spans="1:1">
      <c r="A710" s="47" t="e">
        <f>RTD("tickerplantrtdserver",,"FWRC1#GBPUSD#Month Wise Rates#0#S#PillarDate13")</f>
        <v>#N/A</v>
      </c>
    </row>
    <row r="711" spans="1:1">
      <c r="A711" s="47" t="e">
        <f>RTD("tickerplantrtdserver",,"FWRC1#GBPUSD#Month Wise Rates#0#BidPrice13")</f>
        <v>#N/A</v>
      </c>
    </row>
    <row r="712" spans="1:1">
      <c r="A712" s="47" t="e">
        <f>RTD("tickerplantrtdserver",,"FWRC1#GBPUSD#Month Wise Rates#0#AskPrice13")</f>
        <v>#N/A</v>
      </c>
    </row>
    <row r="713" spans="1:1">
      <c r="A713" s="47" t="e">
        <f>RTD("tickerplantrtdserver",,"FWRC1#GBPUSD#Month Wise Rates#0#S#Desc.14")</f>
        <v>#N/A</v>
      </c>
    </row>
    <row r="714" spans="1:1">
      <c r="A714" s="47" t="e">
        <f>RTD("tickerplantrtdserver",,"FWRC1#GBPUSD#Month Wise Rates#0#S#PillarDate14")</f>
        <v>#N/A</v>
      </c>
    </row>
    <row r="715" spans="1:1">
      <c r="A715" s="47" t="e">
        <f>RTD("tickerplantrtdserver",,"FWRC1#GBPUSD#Month Wise Rates#0#BidPrice14")</f>
        <v>#N/A</v>
      </c>
    </row>
    <row r="716" spans="1:1">
      <c r="A716" s="47" t="e">
        <f>RTD("tickerplantrtdserver",,"FWRC1#GBPUSD#Month Wise Rates#0#AskPrice14")</f>
        <v>#N/A</v>
      </c>
    </row>
    <row r="717" spans="1:1">
      <c r="A717" s="47" t="e">
        <f>RTD("tickerplantrtdserver",,"FWRC1#GBPUSD#Month Wise Rates#0#S#Desc.15")</f>
        <v>#N/A</v>
      </c>
    </row>
    <row r="718" spans="1:1">
      <c r="A718" s="47" t="e">
        <f>RTD("tickerplantrtdserver",,"FWRC1#GBPUSD#Month Wise Rates#0#S#PillarDate15")</f>
        <v>#N/A</v>
      </c>
    </row>
    <row r="719" spans="1:1">
      <c r="A719" s="47" t="e">
        <f>RTD("tickerplantrtdserver",,"FWRC1#GBPUSD#Month Wise Rates#0#BidPrice15")</f>
        <v>#N/A</v>
      </c>
    </row>
    <row r="720" spans="1:1">
      <c r="A720" s="47" t="e">
        <f>RTD("tickerplantrtdserver",,"FWRC1#GBPUSD#Month Wise Rates#0#AskPrice15")</f>
        <v>#N/A</v>
      </c>
    </row>
    <row r="721" spans="1:2">
      <c r="A721" s="47" t="e">
        <f>RTD("tickerplantrtdserver",,"FWRC1#GBPUSD#Month Wise Rates#0#S#Desc.16")</f>
        <v>#N/A</v>
      </c>
    </row>
    <row r="722" spans="1:2">
      <c r="A722" s="47" t="e">
        <f>RTD("tickerplantrtdserver",,"FWRC1#GBPUSD#Month Wise Rates#0#S#PillarDate16")</f>
        <v>#N/A</v>
      </c>
    </row>
    <row r="723" spans="1:2">
      <c r="A723" s="47" t="e">
        <f>RTD("tickerplantrtdserver",,"FWRC1#GBPUSD#Month Wise Rates#0#BidPrice16")</f>
        <v>#N/A</v>
      </c>
    </row>
    <row r="724" spans="1:2">
      <c r="A724" s="47" t="e">
        <f>RTD("tickerplantrtdserver",,"FWRC1#GBPUSD#Month Wise Rates#0#AskPrice16")</f>
        <v>#N/A</v>
      </c>
    </row>
    <row r="725" spans="1:2">
      <c r="A725" s="47" t="e">
        <f>RTD("tickerplantrtdserver",,"FWRC1#GBPUSD#Month Wise Rates#0#S#Desc.17")</f>
        <v>#N/A</v>
      </c>
    </row>
    <row r="726" spans="1:2">
      <c r="A726" s="47" t="e">
        <f>RTD("tickerplantrtdserver",,"FWRC1#GBPUSD#Month Wise Rates#0#S#PillarDate17")</f>
        <v>#N/A</v>
      </c>
    </row>
    <row r="727" spans="1:2">
      <c r="A727" s="47" t="e">
        <f>RTD("tickerplantrtdserver",,"FWRC1#GBPUSD#Month Wise Rates#0#BidPrice17")</f>
        <v>#N/A</v>
      </c>
    </row>
    <row r="728" spans="1:2">
      <c r="A728" s="47" t="e">
        <f>RTD("tickerplantrtdserver",,"FWRC1#GBPUSD#Month Wise Rates#0#AskPrice17")</f>
        <v>#N/A</v>
      </c>
    </row>
    <row r="729" spans="1:2">
      <c r="A729" s="49" t="e">
        <f>RTD("tickerplantrtdserver",,"FWRC1#GBPUSD#Month Wise Rates#0#S#Desc.18")</f>
        <v>#N/A</v>
      </c>
    </row>
    <row r="730" spans="1:2">
      <c r="A730" s="49" t="e">
        <f>RTD("tickerplantrtdserver",,"FWRC1#GBPUSD#Month Wise Rates#0#S#PillarDate18")</f>
        <v>#N/A</v>
      </c>
    </row>
    <row r="731" spans="1:2">
      <c r="A731" s="49" t="e">
        <f>RTD("tickerplantrtdserver",,"FWRC1#GBPUSD#Month Wise Rates#0#BidPrice18")</f>
        <v>#N/A</v>
      </c>
    </row>
    <row r="732" spans="1:2" ht="15.75" thickBot="1">
      <c r="A732" s="49" t="e">
        <f>RTD("tickerplantrtdserver",,"FWRC1#GBPUSD#Month Wise Rates#0#AskPrice18")</f>
        <v>#N/A</v>
      </c>
    </row>
    <row r="733" spans="1:2" ht="15.75" thickBot="1">
      <c r="A733" s="29" t="e">
        <f>RTD("tickerplantrtdserver",,"FWRC1#GBPUSD#Month Wise Rates#0#BidPrice0")</f>
        <v>#N/A</v>
      </c>
      <c r="B733" t="s">
        <v>27</v>
      </c>
    </row>
    <row r="734" spans="1:2">
      <c r="A734" s="30" t="e">
        <f>RTD("tickerplantrtdserver",,"FWRC1#GBPUSD#Month Wise Rates#0#AskPrice0")</f>
        <v>#N/A</v>
      </c>
    </row>
    <row r="735" spans="1:2">
      <c r="A735" s="4" t="e">
        <f>RTD("tickerplantrtdserver",,"FWRC1#GBPUSD#Month Wise Rates#0#S#PillarDate0")</f>
        <v>#N/A</v>
      </c>
      <c r="B735" t="s">
        <v>28</v>
      </c>
    </row>
    <row r="736" spans="1:2">
      <c r="A736" s="41" t="e">
        <f>RTD("tickerplantrtdserver",,"FWRC1#GBPUSD#Month Wise Rates#0#FwdOutrightBid2")</f>
        <v>#N/A</v>
      </c>
      <c r="B736" s="32" t="s">
        <v>38</v>
      </c>
    </row>
    <row r="737" spans="1:1">
      <c r="A737" s="39" t="e">
        <f>RTD("tickerplantrtdserver",,"FWRC1#GBPUSD#Month Wise Rates#0#FwdOutrightAsk2")</f>
        <v>#N/A</v>
      </c>
    </row>
    <row r="738" spans="1:1">
      <c r="A738" s="39" t="e">
        <f>RTD("tickerplantrtdserver",,"FWRC1#GBPUSD#Month Wise Rates#0#FwdOutrightBid7")</f>
        <v>#N/A</v>
      </c>
    </row>
    <row r="739" spans="1:1">
      <c r="A739" s="39" t="e">
        <f>RTD("tickerplantrtdserver",,"FWRC1#GBPUSD#Month Wise Rates#0#FwdOutrightAsk7")</f>
        <v>#N/A</v>
      </c>
    </row>
    <row r="740" spans="1:1">
      <c r="A740" s="39" t="e">
        <f>RTD("tickerplantrtdserver",,"FWRC1#GBPUSD#Month Wise Rates#0#FwdOutrightBid8")</f>
        <v>#N/A</v>
      </c>
    </row>
    <row r="741" spans="1:1">
      <c r="A741" s="39" t="e">
        <f>RTD("tickerplantrtdserver",,"FWRC1#GBPUSD#Month Wise Rates#0#FwdOutrightAsk8")</f>
        <v>#N/A</v>
      </c>
    </row>
    <row r="742" spans="1:1">
      <c r="A742" s="39" t="e">
        <f>RTD("tickerplantrtdserver",,"FWRC1#GBPUSD#Month Wise Rates#0#FwdOutrightBid9")</f>
        <v>#N/A</v>
      </c>
    </row>
    <row r="743" spans="1:1">
      <c r="A743" s="39" t="e">
        <f>RTD("tickerplantrtdserver",,"FWRC1#GBPUSD#Month Wise Rates#0#FwdOutrightAsk9")</f>
        <v>#N/A</v>
      </c>
    </row>
    <row r="744" spans="1:1">
      <c r="A744" s="39" t="e">
        <f>RTD("tickerplantrtdserver",,"FWRC1#GBPUSD#Month Wise Rates#0#FwdOutrightBid10")</f>
        <v>#N/A</v>
      </c>
    </row>
    <row r="745" spans="1:1">
      <c r="A745" s="39" t="e">
        <f>RTD("tickerplantrtdserver",,"FWRC1#GBPUSD#Month Wise Rates#0#FwdOutrightAsk10")</f>
        <v>#N/A</v>
      </c>
    </row>
    <row r="746" spans="1:1">
      <c r="A746" s="39" t="e">
        <f>RTD("tickerplantrtdserver",,"FWRC1#GBPUSD#Month Wise Rates#0#FwdOutrightBid11")</f>
        <v>#N/A</v>
      </c>
    </row>
    <row r="747" spans="1:1">
      <c r="A747" s="39" t="e">
        <f>RTD("tickerplantrtdserver",,"FWRC1#GBPUSD#Month Wise Rates#0#FwdOutrightAsk11")</f>
        <v>#N/A</v>
      </c>
    </row>
    <row r="748" spans="1:1">
      <c r="A748" s="39" t="e">
        <f>RTD("tickerplantrtdserver",,"FWRC1#GBPUSD#Month Wise Rates#0#FwdOutrightBid12")</f>
        <v>#N/A</v>
      </c>
    </row>
    <row r="749" spans="1:1">
      <c r="A749" s="39" t="e">
        <f>RTD("tickerplantrtdserver",,"FWRC1#GBPUSD#Month Wise Rates#0#FwdOutrightAsk12")</f>
        <v>#N/A</v>
      </c>
    </row>
    <row r="750" spans="1:1">
      <c r="A750" s="39" t="e">
        <f>RTD("tickerplantrtdserver",,"FWRC1#GBPUSD#Month Wise Rates#0#FwdOutrightBid13")</f>
        <v>#N/A</v>
      </c>
    </row>
    <row r="751" spans="1:1">
      <c r="A751" s="39" t="e">
        <f>RTD("tickerplantrtdserver",,"FWRC1#GBPUSD#Month Wise Rates#0#FwdOutrightAsk13")</f>
        <v>#N/A</v>
      </c>
    </row>
    <row r="752" spans="1:1">
      <c r="A752" s="39" t="e">
        <f>RTD("tickerplantrtdserver",,"FWRC1#GBPUSD#Month Wise Rates#0#FwdOutrightBid14")</f>
        <v>#N/A</v>
      </c>
    </row>
    <row r="753" spans="1:2">
      <c r="A753" s="39" t="e">
        <f>RTD("tickerplantrtdserver",,"FWRC1#GBPUSD#Month Wise Rates#0#FwdOutrightAsk14")</f>
        <v>#N/A</v>
      </c>
    </row>
    <row r="754" spans="1:2">
      <c r="A754" s="39" t="e">
        <f>RTD("tickerplantrtdserver",,"FWRC1#GBPUSD#Month Wise Rates#0#FwdOutrightBid15")</f>
        <v>#N/A</v>
      </c>
    </row>
    <row r="755" spans="1:2">
      <c r="A755" s="39" t="e">
        <f>RTD("tickerplantrtdserver",,"FWRC1#GBPUSD#Month Wise Rates#0#FwdOutrightAsk15")</f>
        <v>#N/A</v>
      </c>
    </row>
    <row r="756" spans="1:2">
      <c r="A756" s="39" t="e">
        <f>RTD("tickerplantrtdserver",,"FWRC1#GBPUSD#Month Wise Rates#0#FwdOutrightBid16")</f>
        <v>#N/A</v>
      </c>
    </row>
    <row r="757" spans="1:2">
      <c r="A757" s="39" t="e">
        <f>RTD("tickerplantrtdserver",,"FWRC1#GBPUSD#Month Wise Rates#0#FwdOutrightAsk16")</f>
        <v>#N/A</v>
      </c>
    </row>
    <row r="758" spans="1:2">
      <c r="A758" s="39" t="e">
        <f>RTD("tickerplantrtdserver",,"FWRC1#GBPUSD#Month Wise Rates#0#FwdOutrightBid17")</f>
        <v>#N/A</v>
      </c>
    </row>
    <row r="759" spans="1:2">
      <c r="A759" s="39" t="e">
        <f>RTD("tickerplantrtdserver",,"FWRC1#GBPUSD#Month Wise Rates#0#FwdOutrightAsk17")</f>
        <v>#N/A</v>
      </c>
    </row>
    <row r="760" spans="1:2">
      <c r="A760" s="40" t="e">
        <f>RTD("tickerplantrtdserver",,"FWRC1#GBPUSD#Month Wise Rates#0#FwdOutrightBid18")</f>
        <v>#N/A</v>
      </c>
    </row>
    <row r="761" spans="1:2">
      <c r="A761" s="40" t="e">
        <f>RTD("tickerplantrtdserver",,"FWRC1#GBPUSD#Month Wise Rates#0#FwdOutrightAsk18")</f>
        <v>#N/A</v>
      </c>
    </row>
    <row r="762" spans="1:2">
      <c r="A762" s="39" t="e">
        <f>RTD("tickerplantrtdserver",,"FWRC1#USDJPY#Month Wise Rates#0#S#Desc.2")</f>
        <v>#N/A</v>
      </c>
      <c r="B762" s="32" t="s">
        <v>39</v>
      </c>
    </row>
    <row r="763" spans="1:2">
      <c r="A763" s="39" t="e">
        <f>RTD("tickerplantrtdserver",,"FWRC1#USDJPY#Month Wise Rates#0#S#PillarDate2")</f>
        <v>#N/A</v>
      </c>
    </row>
    <row r="764" spans="1:2">
      <c r="A764" s="47" t="e">
        <f>RTD("tickerplantrtdserver",,"FWRC1#USDJPY#Month Wise Rates#0#BidPrice2")</f>
        <v>#N/A</v>
      </c>
    </row>
    <row r="765" spans="1:2">
      <c r="A765" s="47" t="e">
        <f>RTD("tickerplantrtdserver",,"FWRC1#USDJPY#Month Wise Rates#0#AskPrice2")</f>
        <v>#N/A</v>
      </c>
    </row>
    <row r="766" spans="1:2">
      <c r="A766" s="47" t="e">
        <f>RTD("tickerplantrtdserver",,"FWRC1#USDJPY#Month Wise Rates#0#S#Desc.7")</f>
        <v>#N/A</v>
      </c>
    </row>
    <row r="767" spans="1:2">
      <c r="A767" s="47" t="e">
        <f>RTD("tickerplantrtdserver",,"FWRC1#USDJPY#Month Wise Rates#0#S#PillarDate7")</f>
        <v>#N/A</v>
      </c>
    </row>
    <row r="768" spans="1:2">
      <c r="A768" s="47" t="e">
        <f>RTD("tickerplantrtdserver",,"FWRC1#USDJPY#Month Wise Rates#0#BidPrice7")</f>
        <v>#N/A</v>
      </c>
    </row>
    <row r="769" spans="1:1">
      <c r="A769" s="47" t="e">
        <f>RTD("tickerplantrtdserver",,"FWRC1#USDJPY#Month Wise Rates#0#AskPrice7")</f>
        <v>#N/A</v>
      </c>
    </row>
    <row r="770" spans="1:1">
      <c r="A770" s="47" t="e">
        <f>RTD("tickerplantrtdserver",,"FWRC1#USDJPY#Month Wise Rates#0#S#Desc.8")</f>
        <v>#N/A</v>
      </c>
    </row>
    <row r="771" spans="1:1">
      <c r="A771" s="47" t="e">
        <f>RTD("tickerplantrtdserver",,"FWRC1#USDJPY#Month Wise Rates#0#S#PillarDate8")</f>
        <v>#N/A</v>
      </c>
    </row>
    <row r="772" spans="1:1">
      <c r="A772" s="47" t="e">
        <f>RTD("tickerplantrtdserver",,"FWRC1#USDJPY#Month Wise Rates#0#BidPrice8")</f>
        <v>#N/A</v>
      </c>
    </row>
    <row r="773" spans="1:1">
      <c r="A773" s="47" t="e">
        <f>RTD("tickerplantrtdserver",,"FWRC1#USDJPY#Month Wise Rates#0#AskPrice8")</f>
        <v>#N/A</v>
      </c>
    </row>
    <row r="774" spans="1:1">
      <c r="A774" s="47" t="e">
        <f>RTD("tickerplantrtdserver",,"FWRC1#USDJPY#Month Wise Rates#0#S#Desc.9")</f>
        <v>#N/A</v>
      </c>
    </row>
    <row r="775" spans="1:1">
      <c r="A775" s="47" t="e">
        <f>RTD("tickerplantrtdserver",,"FWRC1#USDJPY#Month Wise Rates#0#S#PillarDate9")</f>
        <v>#N/A</v>
      </c>
    </row>
    <row r="776" spans="1:1">
      <c r="A776" s="47" t="e">
        <f>RTD("tickerplantrtdserver",,"FWRC1#USDJPY#Month Wise Rates#0#BidPrice9")</f>
        <v>#N/A</v>
      </c>
    </row>
    <row r="777" spans="1:1">
      <c r="A777" s="47" t="e">
        <f>RTD("tickerplantrtdserver",,"FWRC1#USDJPY#Month Wise Rates#0#AskPrice9")</f>
        <v>#N/A</v>
      </c>
    </row>
    <row r="778" spans="1:1">
      <c r="A778" s="47" t="e">
        <f>RTD("tickerplantrtdserver",,"FWRC1#USDJPY#Month Wise Rates#0#S#Desc.10")</f>
        <v>#N/A</v>
      </c>
    </row>
    <row r="779" spans="1:1">
      <c r="A779" s="47" t="e">
        <f>RTD("tickerplantrtdserver",,"FWRC1#USDJPY#Month Wise Rates#0#S#PillarDate10")</f>
        <v>#N/A</v>
      </c>
    </row>
    <row r="780" spans="1:1">
      <c r="A780" s="47" t="e">
        <f>RTD("tickerplantrtdserver",,"FWRC1#USDJPY#Month Wise Rates#0#BidPrice10")</f>
        <v>#N/A</v>
      </c>
    </row>
    <row r="781" spans="1:1">
      <c r="A781" s="47" t="e">
        <f>RTD("tickerplantrtdserver",,"FWRC1#USDJPY#Month Wise Rates#0#AskPrice10")</f>
        <v>#N/A</v>
      </c>
    </row>
    <row r="782" spans="1:1">
      <c r="A782" s="47" t="e">
        <f>RTD("tickerplantrtdserver",,"FWRC1#USDJPY#Month Wise Rates#0#S#Desc.11")</f>
        <v>#N/A</v>
      </c>
    </row>
    <row r="783" spans="1:1">
      <c r="A783" s="47" t="e">
        <f>RTD("tickerplantrtdserver",,"FWRC1#USDJPY#Month Wise Rates#0#S#PillarDate11")</f>
        <v>#N/A</v>
      </c>
    </row>
    <row r="784" spans="1:1">
      <c r="A784" s="47" t="e">
        <f>RTD("tickerplantrtdserver",,"FWRC1#USDJPY#Month Wise Rates#0#BidPrice11")</f>
        <v>#N/A</v>
      </c>
    </row>
    <row r="785" spans="1:1">
      <c r="A785" s="47" t="e">
        <f>RTD("tickerplantrtdserver",,"FWRC1#USDJPY#Month Wise Rates#0#AskPrice11")</f>
        <v>#N/A</v>
      </c>
    </row>
    <row r="786" spans="1:1">
      <c r="A786" s="47" t="e">
        <f>RTD("tickerplantrtdserver",,"FWRC1#USDJPY#Month Wise Rates#0#S#Desc.12")</f>
        <v>#N/A</v>
      </c>
    </row>
    <row r="787" spans="1:1">
      <c r="A787" s="47" t="e">
        <f>RTD("tickerplantrtdserver",,"FWRC1#USDJPY#Month Wise Rates#0#S#PillarDate12")</f>
        <v>#N/A</v>
      </c>
    </row>
    <row r="788" spans="1:1">
      <c r="A788" s="47" t="e">
        <f>RTD("tickerplantrtdserver",,"FWRC1#USDJPY#Month Wise Rates#0#BidPrice12")</f>
        <v>#N/A</v>
      </c>
    </row>
    <row r="789" spans="1:1">
      <c r="A789" s="47" t="e">
        <f>RTD("tickerplantrtdserver",,"FWRC1#USDJPY#Month Wise Rates#0#AskPrice12")</f>
        <v>#N/A</v>
      </c>
    </row>
    <row r="790" spans="1:1">
      <c r="A790" s="47" t="e">
        <f>RTD("tickerplantrtdserver",,"FWRC1#USDJPY#Month Wise Rates#0#S#Desc.13")</f>
        <v>#N/A</v>
      </c>
    </row>
    <row r="791" spans="1:1">
      <c r="A791" s="47" t="e">
        <f>RTD("tickerplantrtdserver",,"FWRC1#USDJPY#Month Wise Rates#0#S#PillarDate13")</f>
        <v>#N/A</v>
      </c>
    </row>
    <row r="792" spans="1:1">
      <c r="A792" s="47" t="e">
        <f>RTD("tickerplantrtdserver",,"FWRC1#USDJPY#Month Wise Rates#0#BidPrice13")</f>
        <v>#N/A</v>
      </c>
    </row>
    <row r="793" spans="1:1">
      <c r="A793" s="47" t="e">
        <f>RTD("tickerplantrtdserver",,"FWRC1#USDJPY#Month Wise Rates#0#AskPrice13")</f>
        <v>#N/A</v>
      </c>
    </row>
    <row r="794" spans="1:1">
      <c r="A794" s="47" t="e">
        <f>RTD("tickerplantrtdserver",,"FWRC1#USDJPY#Month Wise Rates#0#S#Desc.14")</f>
        <v>#N/A</v>
      </c>
    </row>
    <row r="795" spans="1:1">
      <c r="A795" s="47" t="e">
        <f>RTD("tickerplantrtdserver",,"FWRC1#USDJPY#Month Wise Rates#0#S#PillarDate14")</f>
        <v>#N/A</v>
      </c>
    </row>
    <row r="796" spans="1:1">
      <c r="A796" s="47" t="e">
        <f>RTD("tickerplantrtdserver",,"FWRC1#USDJPY#Month Wise Rates#0#BidPrice14")</f>
        <v>#N/A</v>
      </c>
    </row>
    <row r="797" spans="1:1">
      <c r="A797" s="47" t="e">
        <f>RTD("tickerplantrtdserver",,"FWRC1#USDJPY#Month Wise Rates#0#AskPrice14")</f>
        <v>#N/A</v>
      </c>
    </row>
    <row r="798" spans="1:1">
      <c r="A798" s="47" t="e">
        <f>RTD("tickerplantrtdserver",,"FWRC1#USDJPY#Month Wise Rates#0#S#Desc.15")</f>
        <v>#N/A</v>
      </c>
    </row>
    <row r="799" spans="1:1">
      <c r="A799" s="47" t="e">
        <f>RTD("tickerplantrtdserver",,"FWRC1#USDJPY#Month Wise Rates#0#S#PillarDate15")</f>
        <v>#N/A</v>
      </c>
    </row>
    <row r="800" spans="1:1">
      <c r="A800" s="47" t="e">
        <f>RTD("tickerplantrtdserver",,"FWRC1#USDJPY#Month Wise Rates#0#BidPrice15")</f>
        <v>#N/A</v>
      </c>
    </row>
    <row r="801" spans="1:2">
      <c r="A801" s="47" t="e">
        <f>RTD("tickerplantrtdserver",,"FWRC1#USDJPY#Month Wise Rates#0#AskPrice15")</f>
        <v>#N/A</v>
      </c>
    </row>
    <row r="802" spans="1:2">
      <c r="A802" s="47" t="e">
        <f>RTD("tickerplantrtdserver",,"FWRC1#USDJPY#Month Wise Rates#0#S#Desc.16")</f>
        <v>#N/A</v>
      </c>
    </row>
    <row r="803" spans="1:2">
      <c r="A803" s="47" t="e">
        <f>RTD("tickerplantrtdserver",,"FWRC1#USDJPY#Month Wise Rates#0#S#PillarDate16")</f>
        <v>#N/A</v>
      </c>
    </row>
    <row r="804" spans="1:2">
      <c r="A804" s="47" t="e">
        <f>RTD("tickerplantrtdserver",,"FWRC1#USDJPY#Month Wise Rates#0#BidPrice16")</f>
        <v>#N/A</v>
      </c>
    </row>
    <row r="805" spans="1:2">
      <c r="A805" s="47" t="e">
        <f>RTD("tickerplantrtdserver",,"FWRC1#USDJPY#Month Wise Rates#0#AskPrice16")</f>
        <v>#N/A</v>
      </c>
    </row>
    <row r="806" spans="1:2">
      <c r="A806" s="47" t="e">
        <f>RTD("tickerplantrtdserver",,"FWRC1#USDJPY#Month Wise Rates#0#S#Desc.17")</f>
        <v>#N/A</v>
      </c>
    </row>
    <row r="807" spans="1:2">
      <c r="A807" s="47" t="e">
        <f>RTD("tickerplantrtdserver",,"FWRC1#USDJPY#Month Wise Rates#0#S#PillarDate17")</f>
        <v>#N/A</v>
      </c>
    </row>
    <row r="808" spans="1:2">
      <c r="A808" s="47" t="e">
        <f>RTD("tickerplantrtdserver",,"FWRC1#USDJPY#Month Wise Rates#0#BidPrice17")</f>
        <v>#N/A</v>
      </c>
    </row>
    <row r="809" spans="1:2">
      <c r="A809" s="47" t="e">
        <f>RTD("tickerplantrtdserver",,"FWRC1#USDJPY#Month Wise Rates#0#AskPrice17")</f>
        <v>#N/A</v>
      </c>
    </row>
    <row r="810" spans="1:2">
      <c r="A810" s="49" t="e">
        <f>RTD("tickerplantrtdserver",,"FWRC1#USDJPY#Month Wise Rates#0#S#Desc.18")</f>
        <v>#N/A</v>
      </c>
    </row>
    <row r="811" spans="1:2">
      <c r="A811" s="49" t="e">
        <f>RTD("tickerplantrtdserver",,"FWRC1#USDJPY#Month Wise Rates#0#S#PillarDate18")</f>
        <v>#N/A</v>
      </c>
    </row>
    <row r="812" spans="1:2">
      <c r="A812" s="49" t="e">
        <f>RTD("tickerplantrtdserver",,"FWRC1#USDJPY#Month Wise Rates#0#BidPrice18")</f>
        <v>#N/A</v>
      </c>
    </row>
    <row r="813" spans="1:2" ht="15.75" thickBot="1">
      <c r="A813" s="49" t="e">
        <f>RTD("tickerplantrtdserver",,"FWRC1#USDJPY#Month Wise Rates#0#AskPrice18")</f>
        <v>#N/A</v>
      </c>
    </row>
    <row r="814" spans="1:2" ht="15.75" thickBot="1">
      <c r="A814" s="29" t="e">
        <f>RTD("tickerplantrtdserver",,"FWRC1#USDJPY#Month Wise Rates#0#BidPrice0")</f>
        <v>#N/A</v>
      </c>
      <c r="B814" t="s">
        <v>27</v>
      </c>
    </row>
    <row r="815" spans="1:2" ht="15.75" thickBot="1">
      <c r="A815" s="30" t="e">
        <f>RTD("tickerplantrtdserver",,"FWRC1#USDJPY#Month Wise Rates#0#AskPrice0")</f>
        <v>#N/A</v>
      </c>
    </row>
    <row r="816" spans="1:2">
      <c r="A816" s="3" t="e">
        <f>RTD("tickerplantrtdserver",,"FWRC1#USDJPY#Month Wise Rates#0#S#PillarDate0")</f>
        <v>#N/A</v>
      </c>
      <c r="B816" t="s">
        <v>28</v>
      </c>
    </row>
    <row r="817" spans="1:1">
      <c r="A817" s="31" t="s">
        <v>40</v>
      </c>
    </row>
    <row r="818" spans="1:1">
      <c r="A818" s="39" t="e">
        <f>RTD("tickerplantrtdserver",,"FWRC1#USDJPY#Month Wise Rates#0#FwdOutrightBid2")</f>
        <v>#N/A</v>
      </c>
    </row>
    <row r="819" spans="1:1">
      <c r="A819" s="39" t="e">
        <f>RTD("tickerplantrtdserver",,"FWRC1#USDJPY#Month Wise Rates#0#FwdOutrightAsk2")</f>
        <v>#N/A</v>
      </c>
    </row>
    <row r="820" spans="1:1">
      <c r="A820" s="39" t="e">
        <f>RTD("tickerplantrtdserver",,"FWRC1#USDJPY#Month Wise Rates#0#FwdOutrightBid7")</f>
        <v>#N/A</v>
      </c>
    </row>
    <row r="821" spans="1:1">
      <c r="A821" s="39" t="e">
        <f>RTD("tickerplantrtdserver",,"FWRC1#USDJPY#Month Wise Rates#0#FwdOutrightAsk7")</f>
        <v>#N/A</v>
      </c>
    </row>
    <row r="822" spans="1:1">
      <c r="A822" s="39" t="e">
        <f>RTD("tickerplantrtdserver",,"FWRC1#USDJPY#Month Wise Rates#0#FwdOutrightBid8")</f>
        <v>#N/A</v>
      </c>
    </row>
    <row r="823" spans="1:1">
      <c r="A823" s="39" t="e">
        <f>RTD("tickerplantrtdserver",,"FWRC1#USDJPY#Month Wise Rates#0#FwdOutrightAsk8")</f>
        <v>#N/A</v>
      </c>
    </row>
    <row r="824" spans="1:1">
      <c r="A824" s="39" t="e">
        <f>RTD("tickerplantrtdserver",,"FWRC1#USDJPY#Month Wise Rates#0#FwdOutrightBid9")</f>
        <v>#N/A</v>
      </c>
    </row>
    <row r="825" spans="1:1">
      <c r="A825" s="39" t="e">
        <f>RTD("tickerplantrtdserver",,"FWRC1#USDJPY#Month Wise Rates#0#FwdOutrightAsk9")</f>
        <v>#N/A</v>
      </c>
    </row>
    <row r="826" spans="1:1">
      <c r="A826" s="39" t="e">
        <f>RTD("tickerplantrtdserver",,"FWRC1#USDJPY#Month Wise Rates#0#FwdOutrightBid10")</f>
        <v>#N/A</v>
      </c>
    </row>
    <row r="827" spans="1:1">
      <c r="A827" s="39" t="e">
        <f>RTD("tickerplantrtdserver",,"FWRC1#USDJPY#Month Wise Rates#0#FwdOutrightAsk10")</f>
        <v>#N/A</v>
      </c>
    </row>
    <row r="828" spans="1:1">
      <c r="A828" s="39" t="e">
        <f>RTD("tickerplantrtdserver",,"FWRC1#USDJPY#Month Wise Rates#0#FwdOutrightBid11")</f>
        <v>#N/A</v>
      </c>
    </row>
    <row r="829" spans="1:1">
      <c r="A829" s="39" t="e">
        <f>RTD("tickerplantrtdserver",,"FWRC1#USDJPY#Month Wise Rates#0#FwdOutrightAsk11")</f>
        <v>#N/A</v>
      </c>
    </row>
    <row r="830" spans="1:1">
      <c r="A830" s="39" t="e">
        <f>RTD("tickerplantrtdserver",,"FWRC1#USDJPY#Month Wise Rates#0#FwdOutrightBid12")</f>
        <v>#N/A</v>
      </c>
    </row>
    <row r="831" spans="1:1">
      <c r="A831" s="39" t="e">
        <f>RTD("tickerplantrtdserver",,"FWRC1#USDJPY#Month Wise Rates#0#FwdOutrightAsk12")</f>
        <v>#N/A</v>
      </c>
    </row>
    <row r="832" spans="1:1">
      <c r="A832" s="39" t="e">
        <f>RTD("tickerplantrtdserver",,"FWRC1#USDJPY#Month Wise Rates#0#FwdOutrightBid13")</f>
        <v>#N/A</v>
      </c>
    </row>
    <row r="833" spans="1:2">
      <c r="A833" s="39" t="e">
        <f>RTD("tickerplantrtdserver",,"FWRC1#USDJPY#Month Wise Rates#0#FwdOutrightAsk13")</f>
        <v>#N/A</v>
      </c>
    </row>
    <row r="834" spans="1:2">
      <c r="A834" s="39" t="e">
        <f>RTD("tickerplantrtdserver",,"FWRC1#USDJPY#Month Wise Rates#0#FwdOutrightBid14")</f>
        <v>#N/A</v>
      </c>
    </row>
    <row r="835" spans="1:2">
      <c r="A835" s="39" t="e">
        <f>RTD("tickerplantrtdserver",,"FWRC1#USDJPY#Month Wise Rates#0#FwdOutrightAsk14")</f>
        <v>#N/A</v>
      </c>
    </row>
    <row r="836" spans="1:2">
      <c r="A836" s="39" t="e">
        <f>RTD("tickerplantrtdserver",,"FWRC1#USDJPY#Month Wise Rates#0#FwdOutrightBid15")</f>
        <v>#N/A</v>
      </c>
    </row>
    <row r="837" spans="1:2">
      <c r="A837" s="39" t="e">
        <f>RTD("tickerplantrtdserver",,"FWRC1#USDJPY#Month Wise Rates#0#FwdOutrightAsk15")</f>
        <v>#N/A</v>
      </c>
    </row>
    <row r="838" spans="1:2">
      <c r="A838" s="39" t="e">
        <f>RTD("tickerplantrtdserver",,"FWRC1#USDJPY#Month Wise Rates#0#FwdOutrightBid16")</f>
        <v>#N/A</v>
      </c>
    </row>
    <row r="839" spans="1:2">
      <c r="A839" s="39" t="e">
        <f>RTD("tickerplantrtdserver",,"FWRC1#USDJPY#Month Wise Rates#0#FwdOutrightAsk16")</f>
        <v>#N/A</v>
      </c>
    </row>
    <row r="840" spans="1:2">
      <c r="A840" s="39" t="e">
        <f>RTD("tickerplantrtdserver",,"FWRC1#USDJPY#Month Wise Rates#0#FwdOutrightBid17")</f>
        <v>#N/A</v>
      </c>
    </row>
    <row r="841" spans="1:2">
      <c r="A841" s="39" t="e">
        <f>RTD("tickerplantrtdserver",,"FWRC1#USDJPY#Month Wise Rates#0#FwdOutrightAsk17")</f>
        <v>#N/A</v>
      </c>
    </row>
    <row r="842" spans="1:2">
      <c r="A842" s="40" t="e">
        <f>RTD("tickerplantrtdserver",,"FWRC1#USDJPY#Month Wise Rates#0#FwdOutrightBid18")</f>
        <v>#N/A</v>
      </c>
    </row>
    <row r="843" spans="1:2">
      <c r="A843" s="40" t="e">
        <f>RTD("tickerplantrtdserver",,"FWRC1#USDJPY#Month Wise Rates#0#FwdOutrightAsk18")</f>
        <v>#N/A</v>
      </c>
    </row>
    <row r="844" spans="1:2">
      <c r="A844" s="43" t="e">
        <f>RTD("tickerplantrtdserver",,"FWRC1#USDINR#Month Wise Rates#0#FwdOutrightAsk16")</f>
        <v>#N/A</v>
      </c>
      <c r="B844" t="s">
        <v>48</v>
      </c>
    </row>
    <row r="845" spans="1:2" ht="15.75">
      <c r="A845" s="54" t="e">
        <f>RTD("tickerplantrtdserver",,"35#1#1#6069#FUTCUR#N1#0#XX#Bid")</f>
        <v>#N/A</v>
      </c>
      <c r="B845" s="50" t="s">
        <v>49</v>
      </c>
    </row>
    <row r="846" spans="1:2" ht="15.75">
      <c r="A846" s="55" t="e">
        <f>RTD("tickerplantrtdserver",,"35#1#1#6069#FUTCUR#N2#0#XX#Bid")</f>
        <v>#N/A</v>
      </c>
      <c r="B846" s="50" t="s">
        <v>50</v>
      </c>
    </row>
    <row r="847" spans="1:2" ht="17.25">
      <c r="A847" s="54" t="e">
        <f>RTD("tickerplantrtdserver",,"35#1#1#6069#FUTCUR#N3#0#XX#Bid")</f>
        <v>#N/A</v>
      </c>
      <c r="B847" s="53" t="s">
        <v>51</v>
      </c>
    </row>
    <row r="848" spans="1:2" ht="17.25">
      <c r="A848" s="54" t="e">
        <f>RTD("tickerplantrtdserver",,"35#1#1#6069#FUTCUR#N1#0#XX#Ask")</f>
        <v>#N/A</v>
      </c>
      <c r="B848" s="56" t="s">
        <v>13</v>
      </c>
    </row>
    <row r="849" spans="1:2" ht="15.75">
      <c r="A849" s="54" t="e">
        <f>RTD("tickerplantrtdserver",,"35#1#1#6069#FUTCUR#N2#0#XX#Ask")</f>
        <v>#N/A</v>
      </c>
    </row>
    <row r="850" spans="1:2" ht="16.5" thickBot="1">
      <c r="A850" s="54" t="e">
        <f>RTD("tickerplantrtdserver",,"35#1#1#6069#FUTCUR#N3#0#XX#Ask")</f>
        <v>#N/A</v>
      </c>
    </row>
    <row r="851" spans="1:2" ht="17.25">
      <c r="A851" s="57" t="e">
        <f>RTD("tickerplantrtdserver",,"35#1#1#5949#FUTCUR#N1#0#XX#Bid")</f>
        <v>#N/A</v>
      </c>
      <c r="B851" s="20" t="s">
        <v>52</v>
      </c>
    </row>
    <row r="852" spans="1:2" ht="17.25">
      <c r="A852" s="57" t="e">
        <f>RTD("tickerplantrtdserver",,"35#1#1#5949#FUTCUR#N2#0#XX#Bid")</f>
        <v>#N/A</v>
      </c>
      <c r="B852" s="53" t="s">
        <v>51</v>
      </c>
    </row>
    <row r="853" spans="1:2" ht="17.25">
      <c r="A853" s="57" t="e">
        <f>RTD("tickerplantrtdserver",,"35#1#1#5949#FUTCUR#N3#0#XX#Bid")</f>
        <v>#N/A</v>
      </c>
    </row>
    <row r="854" spans="1:2" ht="17.25">
      <c r="A854" s="57" t="e">
        <f>RTD("tickerplantrtdserver",,"35#1#1#5949#FUTCUR#N1#0#XX#Ask")</f>
        <v>#N/A</v>
      </c>
      <c r="B854" s="56" t="s">
        <v>13</v>
      </c>
    </row>
    <row r="855" spans="1:2" ht="17.25">
      <c r="A855" s="57" t="e">
        <f>RTD("tickerplantrtdserver",,"35#1#1#5949#FUTCUR#N2#0#XX#Ask")</f>
        <v>#N/A</v>
      </c>
    </row>
    <row r="856" spans="1:2" ht="17.25">
      <c r="A856" s="57" t="e">
        <f>RTD("tickerplantrtdserver",,"35#1#1#5949#FUTCUR#N3#0#XX#Ask")</f>
        <v>#N/A</v>
      </c>
    </row>
    <row r="857" spans="1:2" ht="17.25">
      <c r="A857" s="57" t="e">
        <f>RTD("tickerplantrtdserver",,"35#1#1#6031#FUTCUR#N1#0#XX#Bid")</f>
        <v>#N/A</v>
      </c>
      <c r="B857" s="53" t="s">
        <v>51</v>
      </c>
    </row>
    <row r="858" spans="1:2" ht="17.25">
      <c r="A858" s="57" t="e">
        <f>RTD("tickerplantrtdserver",,"35#1#1#6031#FUTCUR#N2#0#XX#Bid")</f>
        <v>#N/A</v>
      </c>
    </row>
    <row r="859" spans="1:2" ht="17.25">
      <c r="A859" s="57" t="e">
        <f>RTD("tickerplantrtdserver",,"35#1#1#6031#FUTCUR#N3#0#XX#Bid")</f>
        <v>#N/A</v>
      </c>
    </row>
    <row r="860" spans="1:2" ht="17.25">
      <c r="A860" s="57" t="e">
        <f>RTD("tickerplantrtdserver",,"35#1#1#6031#FUTCUR#N1#0#XX#Ask")</f>
        <v>#N/A</v>
      </c>
      <c r="B860" s="56" t="s">
        <v>13</v>
      </c>
    </row>
    <row r="861" spans="1:2" ht="17.25">
      <c r="A861" s="57" t="e">
        <f>RTD("tickerplantrtdserver",,"35#1#1#6031#FUTCUR#N2#0#XX#Ask")</f>
        <v>#N/A</v>
      </c>
    </row>
    <row r="862" spans="1:2" ht="18" thickBot="1">
      <c r="A862" s="57" t="e">
        <f>RTD("tickerplantrtdserver",,"35#1#1#6031#FUTCUR#N3#0#XX#Ask")</f>
        <v>#N/A</v>
      </c>
    </row>
    <row r="863" spans="1:2" ht="17.25">
      <c r="A863" s="57" t="e">
        <f>RTD("tickerplantrtdserver",,"35#1#1#5978#FUTCUR#N1#0#XX#Bid")</f>
        <v>#N/A</v>
      </c>
      <c r="B863" s="58" t="s">
        <v>19</v>
      </c>
    </row>
    <row r="864" spans="1:2" ht="17.25">
      <c r="A864" s="57" t="e">
        <f>RTD("tickerplantrtdserver",,"35#1#1#5978#FUTCUR#N2#0#XX#Bid")</f>
        <v>#N/A</v>
      </c>
      <c r="B864" s="53" t="s">
        <v>51</v>
      </c>
    </row>
    <row r="865" spans="1:2" ht="17.25">
      <c r="A865" s="57" t="e">
        <f>RTD("tickerplantrtdserver",,"35#1#1#5978#FUTCUR#N3#0#XX#Bid")</f>
        <v>#N/A</v>
      </c>
    </row>
    <row r="866" spans="1:2" ht="17.25">
      <c r="A866" s="57" t="e">
        <f>RTD("tickerplantrtdserver",,"35#1#1#5978#FUTCUR#N1#0#XX#Ask")</f>
        <v>#N/A</v>
      </c>
      <c r="B866" s="56" t="s">
        <v>13</v>
      </c>
    </row>
    <row r="867" spans="1:2" ht="17.25">
      <c r="A867" s="57" t="e">
        <f>RTD("tickerplantrtdserver",,"35#1#1#5978#FUTCUR#N2#0#XX#Ask")</f>
        <v>#N/A</v>
      </c>
    </row>
    <row r="868" spans="1:2" ht="17.25">
      <c r="A868" s="57" t="e">
        <f>RTD("tickerplantrtdserver",,"35#1#1#5978#FUTCUR#N3#0#XX#Ask")</f>
        <v>#N/A</v>
      </c>
    </row>
    <row r="869" spans="1:2" ht="15.75">
      <c r="A869" s="61" t="e">
        <f>RTD("tickerplantrtdserver",,"FWRC1#USDINR#Month Wise Rates#1#Bid%7")</f>
        <v>#N/A</v>
      </c>
    </row>
    <row r="870" spans="1:2" ht="15.75">
      <c r="A870" s="61" t="e">
        <f>RTD("tickerplantrtdserver",,"FWRC1#USDINR#Month Wise Rates#1#Bid%9")</f>
        <v>#N/A</v>
      </c>
    </row>
    <row r="871" spans="1:2" ht="15.75">
      <c r="A871" s="61" t="e">
        <f>RTD("tickerplantrtdserver",,"FWRC1#USDINR#Month Wise Rates#1#Bid%12")</f>
        <v>#N/A</v>
      </c>
    </row>
    <row r="872" spans="1:2" ht="15.75">
      <c r="A872" s="61" t="e">
        <f>RTD("tickerplantrtdserver",,"FWRC1#USDINR#Month Wise Rates#1#Bid%18")</f>
        <v>#N/A</v>
      </c>
    </row>
    <row r="873" spans="1:2" ht="15.75">
      <c r="A873" s="61" t="e">
        <f>RTD("tickerplantrtdserver",,"FWRC1#EURINR#Month Wise Rates#1#Bid%7")</f>
        <v>#N/A</v>
      </c>
    </row>
    <row r="874" spans="1:2" ht="15.75">
      <c r="A874" s="61" t="e">
        <f>RTD("tickerplantrtdserver",,"FWRC1#EURINR#Month Wise Rates#1#Bid%9")</f>
        <v>#N/A</v>
      </c>
    </row>
    <row r="875" spans="1:2" ht="15.75">
      <c r="A875" s="61" t="e">
        <f>RTD("tickerplantrtdserver",,"FWRC1#EURINR#Month Wise Rates#1#Bid%12")</f>
        <v>#N/A</v>
      </c>
    </row>
    <row r="876" spans="1:2" ht="15.75">
      <c r="A876" s="61" t="e">
        <f>RTD("tickerplantrtdserver",,"FWRC1#EURINR#Month Wise Rates#1#Bid%18")</f>
        <v>#N/A</v>
      </c>
    </row>
    <row r="877" spans="1:2" ht="15.75">
      <c r="A877" s="61" t="e">
        <f>RTD("tickerplantrtdserver",,"FWRC1#GBPINR#Month Wise Rates#1#Bid%7")</f>
        <v>#N/A</v>
      </c>
    </row>
    <row r="878" spans="1:2" ht="15.75">
      <c r="A878" s="61" t="e">
        <f>RTD("tickerplantrtdserver",,"FWRC1#GBPINR#Month Wise Rates#1#Bid%10")</f>
        <v>#N/A</v>
      </c>
    </row>
    <row r="879" spans="1:2" ht="15.75">
      <c r="A879" s="61" t="e">
        <f>RTD("tickerplantrtdserver",,"FWRC1#GBPINR#Month Wise Rates#1#Bid%12")</f>
        <v>#N/A</v>
      </c>
    </row>
    <row r="880" spans="1:2" ht="15.75">
      <c r="A880" s="61" t="e">
        <f>RTD("tickerplantrtdserver",,"FWRC1#GBPINR#Month Wise Rates#1#Bid%18")</f>
        <v>#N/A</v>
      </c>
    </row>
    <row r="881" spans="1:1" ht="15.75">
      <c r="A881" s="61" t="e">
        <f>RTD("tickerplantrtdserver",,"FWRC1#JPYINR#Month Wise Rates#1#Bid%8")</f>
        <v>#N/A</v>
      </c>
    </row>
    <row r="882" spans="1:1" ht="15.75">
      <c r="A882" s="61" t="e">
        <f>RTD("tickerplantrtdserver",,"FWRC1#JPYINR#Month Wise Rates#1#Bid%9")</f>
        <v>#N/A</v>
      </c>
    </row>
    <row r="883" spans="1:1" ht="15.75">
      <c r="A883" s="61" t="e">
        <f>RTD("tickerplantrtdserver",,"FWRC1#JPYINR#Month Wise Rates#1#Bid%12")</f>
        <v>#N/A</v>
      </c>
    </row>
    <row r="884" spans="1:1" ht="15.75">
      <c r="A884" s="61" t="e">
        <f>RTD("tickerplantrtdserver",,"FWRC1#JPYINR#Month Wise Rates#1#Bid%18")</f>
        <v>#N/A</v>
      </c>
    </row>
    <row r="885" spans="1:1" ht="15.75">
      <c r="A885" s="61" t="e">
        <f>RTD("tickerplantrtdserver",,"FWRC1#USDINR#Month Wise Rates#1#Bid%7")</f>
        <v>#N/A</v>
      </c>
    </row>
    <row r="886" spans="1:1" ht="15.75">
      <c r="A886" s="61" t="e">
        <f>RTD("tickerplantrtdserver",,"FWRC1#USDINR#Month Wise Rates#1#Bid%9")</f>
        <v>#N/A</v>
      </c>
    </row>
    <row r="887" spans="1:1" ht="15.75">
      <c r="A887" s="61" t="e">
        <f>RTD("tickerplantrtdserver",,"FWRC1#USDINR#Month Wise Rates#1#Bid%12")</f>
        <v>#N/A</v>
      </c>
    </row>
    <row r="888" spans="1:1" ht="15.75">
      <c r="A888" s="61" t="e">
        <f>RTD("tickerplantrtdserver",,"FWRC1#USDINR#Month Wise Rates#1#Bid%12")</f>
        <v>#N/A</v>
      </c>
    </row>
    <row r="889" spans="1:1" ht="15.75">
      <c r="A889" s="61" t="e">
        <f>RTD("tickerplantrtdserver",,"FWRC1#USDINR#Month Wise Rates#1#Bid%18")</f>
        <v>#N/A</v>
      </c>
    </row>
    <row r="890" spans="1:1" ht="15.75">
      <c r="A890" s="61" t="e">
        <f>RTD("tickerplantrtdserver",,"FWRC1#EURINR#Month Wise Rates#1#Bid%7")</f>
        <v>#N/A</v>
      </c>
    </row>
    <row r="891" spans="1:1" ht="15.75">
      <c r="A891" s="61" t="e">
        <f>RTD("tickerplantrtdserver",,"FWRC1#EURINR#Month Wise Rates#1#Bid%9")</f>
        <v>#N/A</v>
      </c>
    </row>
    <row r="892" spans="1:1" ht="15.75">
      <c r="A892" s="61" t="e">
        <f>RTD("tickerplantrtdserver",,"FWRC1#EURINR#Month Wise Rates#1#Bid%12")</f>
        <v>#N/A</v>
      </c>
    </row>
    <row r="893" spans="1:1" ht="15.75">
      <c r="A893" s="61" t="e">
        <f>RTD("tickerplantrtdserver",,"FWRC1#EURINR#Month Wise Rates#1#Bid%18")</f>
        <v>#N/A</v>
      </c>
    </row>
    <row r="894" spans="1:1" ht="15.75">
      <c r="A894" s="61" t="e">
        <f>RTD("tickerplantrtdserver",,"FWRC1#GBPINR#Month Wise Rates#1#Bid%7")</f>
        <v>#N/A</v>
      </c>
    </row>
    <row r="895" spans="1:1" ht="15.75">
      <c r="A895" s="61" t="e">
        <f>RTD("tickerplantrtdserver",,"FWRC1#GBPINR#Month Wise Rates#1#Bid%10")</f>
        <v>#N/A</v>
      </c>
    </row>
    <row r="896" spans="1:1" ht="15.75">
      <c r="A896" s="61" t="e">
        <f>RTD("tickerplantrtdserver",,"FWRC1#GBPINR#Month Wise Rates#1#Bid%12")</f>
        <v>#N/A</v>
      </c>
    </row>
    <row r="897" spans="1:1" ht="15.75">
      <c r="A897" s="61" t="e">
        <f>RTD("tickerplantrtdserver",,"FWRC1#GBPINR#Month Wise Rates#1#Bid%18")</f>
        <v>#N/A</v>
      </c>
    </row>
    <row r="898" spans="1:1" ht="15.75">
      <c r="A898" s="61" t="e">
        <f>RTD("tickerplantrtdserver",,"FWRC1#JPYINR#Month Wise Rates#1#Bid%8")</f>
        <v>#N/A</v>
      </c>
    </row>
    <row r="899" spans="1:1" ht="15.75">
      <c r="A899" s="61" t="e">
        <f>RTD("tickerplantrtdserver",,"FWRC1#JPYINR#Month Wise Rates#1#Bid%9")</f>
        <v>#N/A</v>
      </c>
    </row>
    <row r="900" spans="1:1" ht="15.75">
      <c r="A900" s="61" t="e">
        <f>RTD("tickerplantrtdserver",,"FWRC1#JPYINR#Month Wise Rates#1#Bid%12")</f>
        <v>#N/A</v>
      </c>
    </row>
    <row r="901" spans="1:1" ht="15.75">
      <c r="A901" s="61" t="e">
        <f>RTD("tickerplantrtdserver",,"FWRC1#JPYINR#Month Wise Rates#1#Bid%18")</f>
        <v>#N/A</v>
      </c>
    </row>
    <row r="902" spans="1:1" ht="15.75">
      <c r="A902" s="61" t="e">
        <f>RTD("tickerplantrtdserver",,"FWRC1#USDINR#Month Wise Rates#1#Bid%7")</f>
        <v>#N/A</v>
      </c>
    </row>
    <row r="903" spans="1:1" ht="15.75">
      <c r="A903" s="61" t="e">
        <f>RTD("tickerplantrtdserver",,"FWRC1#USDINR#Month Wise Rates#1#Bid%9")</f>
        <v>#N/A</v>
      </c>
    </row>
    <row r="904" spans="1:1" ht="15.75">
      <c r="A904" s="61" t="e">
        <f>RTD("tickerplantrtdserver",,"FWRC1#USDINR#Month Wise Rates#1#Bid%12")</f>
        <v>#N/A</v>
      </c>
    </row>
    <row r="905" spans="1:1" ht="15.75">
      <c r="A905" s="61" t="e">
        <f>RTD("tickerplantrtdserver",,"FWRC1#USDINR#Month Wise Rates#1#Bid%18")</f>
        <v>#N/A</v>
      </c>
    </row>
    <row r="906" spans="1:1" ht="15.75">
      <c r="A906" s="61" t="e">
        <f>RTD("tickerplantrtdserver",,"FWRC1#EURINR#Month Wise Rates#1#Bid%7")</f>
        <v>#N/A</v>
      </c>
    </row>
    <row r="907" spans="1:1" ht="15.75">
      <c r="A907" s="61" t="e">
        <f>RTD("tickerplantrtdserver",,"FWRC1#EURINR#Month Wise Rates#1#Bid%9")</f>
        <v>#N/A</v>
      </c>
    </row>
    <row r="908" spans="1:1" ht="15.75">
      <c r="A908" s="61" t="e">
        <f>RTD("tickerplantrtdserver",,"FWRC1#EURINR#Month Wise Rates#1#Bid%12")</f>
        <v>#N/A</v>
      </c>
    </row>
    <row r="909" spans="1:1" ht="15.75">
      <c r="A909" s="61" t="e">
        <f>RTD("tickerplantrtdserver",,"FWRC1#EURINR#Month Wise Rates#1#Bid%18")</f>
        <v>#N/A</v>
      </c>
    </row>
    <row r="910" spans="1:1" ht="15.75">
      <c r="A910" s="61" t="e">
        <f>RTD("tickerplantrtdserver",,"FWRC1#GBPINR#Month Wise Rates#1#Bid%7")</f>
        <v>#N/A</v>
      </c>
    </row>
    <row r="911" spans="1:1" ht="15.75">
      <c r="A911" s="61" t="e">
        <f>RTD("tickerplantrtdserver",,"FWRC1#GBPINR#Month Wise Rates#1#Bid%10")</f>
        <v>#N/A</v>
      </c>
    </row>
    <row r="912" spans="1:1" ht="15.75">
      <c r="A912" s="61" t="e">
        <f>RTD("tickerplantrtdserver",,"FWRC1#GBPINR#Month Wise Rates#1#Bid%12")</f>
        <v>#N/A</v>
      </c>
    </row>
    <row r="913" spans="1:1" ht="15.75">
      <c r="A913" s="61" t="e">
        <f>RTD("tickerplantrtdserver",,"FWRC1#GBPINR#Month Wise Rates#1#Bid%18")</f>
        <v>#N/A</v>
      </c>
    </row>
    <row r="914" spans="1:1" ht="15.75">
      <c r="A914" s="61" t="e">
        <f>RTD("tickerplantrtdserver",,"FWRC1#JPYINR#Month Wise Rates#1#Bid%8")</f>
        <v>#N/A</v>
      </c>
    </row>
    <row r="915" spans="1:1" ht="15.75">
      <c r="A915" s="61" t="e">
        <f>RTD("tickerplantrtdserver",,"FWRC1#JPYINR#Month Wise Rates#1#Bid%9")</f>
        <v>#N/A</v>
      </c>
    </row>
    <row r="916" spans="1:1" ht="15.75">
      <c r="A916" s="61" t="e">
        <f>RTD("tickerplantrtdserver",,"FWRC1#JPYINR#Month Wise Rates#1#Bid%12")</f>
        <v>#N/A</v>
      </c>
    </row>
    <row r="917" spans="1:1" ht="15.75">
      <c r="A917" s="61" t="e">
        <f>RTD("tickerplantrtdserver",,"FWRC1#JPYINR#Month Wise Rates#1#Bid%18")</f>
        <v>#N/A</v>
      </c>
    </row>
  </sheetData>
  <dataConsolidate/>
  <mergeCells count="1">
    <mergeCell ref="B198:D198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FinrexLiveTicker1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RPLUS CRM</cp:lastModifiedBy>
  <dcterms:created xsi:type="dcterms:W3CDTF">2015-07-10T03:05:26Z</dcterms:created>
  <dcterms:modified xsi:type="dcterms:W3CDTF">2016-02-19T12:46:10Z</dcterms:modified>
</cp:coreProperties>
</file>